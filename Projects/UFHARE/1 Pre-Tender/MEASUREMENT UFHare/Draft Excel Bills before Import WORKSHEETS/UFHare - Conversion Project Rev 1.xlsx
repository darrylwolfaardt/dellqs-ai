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on\OneDrive\Documents\Documents\5 EXCELQS Projects\UFHARE - FINANCE OFFICE CONVERSION\UFHare - MEASUREMENT\"/>
    </mc:Choice>
  </mc:AlternateContent>
  <xr:revisionPtr revIDLastSave="0" documentId="8_{CD30FF8C-A4AD-4BA6-BAB6-3231B05ECC04}" xr6:coauthVersionLast="47" xr6:coauthVersionMax="47" xr10:uidLastSave="{00000000-0000-0000-0000-000000000000}"/>
  <bookViews>
    <workbookView xWindow="-28920" yWindow="-120" windowWidth="29040" windowHeight="15720" activeTab="5" xr2:uid="{00000000-000D-0000-FFFF-FFFF00000000}"/>
  </bookViews>
  <sheets>
    <sheet name="Contents" sheetId="1" r:id="rId1"/>
    <sheet name="Query List" sheetId="2" r:id="rId2"/>
    <sheet name="Bill 1 - Demolitions" sheetId="3" r:id="rId3"/>
    <sheet name="Bill 2 - Foundations" sheetId="4" r:id="rId4"/>
    <sheet name="Bill 3 - Floors" sheetId="5" r:id="rId5"/>
    <sheet name="Doors &amp; Window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8" i="5" l="1"/>
  <c r="F98" i="5" s="1"/>
  <c r="F85" i="5"/>
  <c r="F82" i="5"/>
  <c r="F80" i="5"/>
  <c r="F78" i="5"/>
  <c r="F71" i="5"/>
  <c r="F97" i="5" s="1"/>
  <c r="F68" i="5"/>
  <c r="F73" i="5" s="1"/>
  <c r="F63" i="5"/>
  <c r="F96" i="5" s="1"/>
  <c r="F61" i="5"/>
  <c r="F59" i="5"/>
  <c r="F57" i="5"/>
  <c r="F54" i="5"/>
  <c r="F51" i="5"/>
  <c r="F49" i="5"/>
  <c r="F42" i="5"/>
  <c r="F44" i="5" s="1"/>
  <c r="F95" i="5" s="1"/>
  <c r="F100" i="5" s="1"/>
  <c r="F40" i="5"/>
  <c r="F38" i="5"/>
  <c r="F35" i="5"/>
  <c r="F32" i="5"/>
  <c r="F30" i="5"/>
  <c r="F120" i="4"/>
  <c r="F110" i="4"/>
  <c r="F108" i="4"/>
  <c r="F112" i="4" s="1"/>
  <c r="F122" i="4" s="1"/>
  <c r="F101" i="4"/>
  <c r="F119" i="4" s="1"/>
  <c r="F98" i="4"/>
  <c r="F103" i="4" s="1"/>
  <c r="F91" i="4"/>
  <c r="F89" i="4"/>
  <c r="F86" i="4"/>
  <c r="F84" i="4"/>
  <c r="F82" i="4"/>
  <c r="F80" i="4"/>
  <c r="F78" i="4"/>
  <c r="F75" i="4"/>
  <c r="F73" i="4"/>
  <c r="F71" i="4"/>
  <c r="F69" i="4"/>
  <c r="F66" i="4"/>
  <c r="F64" i="4"/>
  <c r="F62" i="4"/>
  <c r="F59" i="4"/>
  <c r="F57" i="4"/>
  <c r="F93" i="4" s="1"/>
  <c r="F118" i="4" s="1"/>
  <c r="F55" i="4"/>
  <c r="F48" i="4"/>
  <c r="F46" i="4"/>
  <c r="F44" i="4"/>
  <c r="F41" i="4"/>
  <c r="F39" i="4"/>
  <c r="F37" i="4"/>
  <c r="F35" i="4"/>
  <c r="F32" i="4"/>
  <c r="F50" i="4" s="1"/>
  <c r="F117" i="4" s="1"/>
  <c r="F96" i="3"/>
  <c r="F92" i="3"/>
  <c r="C92" i="3"/>
  <c r="F90" i="3"/>
  <c r="F88" i="3"/>
  <c r="F86" i="3"/>
  <c r="F82" i="3"/>
  <c r="F80" i="3"/>
  <c r="F78" i="3"/>
  <c r="F76" i="3"/>
  <c r="F74" i="3"/>
  <c r="F70" i="3"/>
  <c r="C70" i="3"/>
  <c r="F68" i="3"/>
  <c r="F66" i="3"/>
  <c r="F62" i="3"/>
  <c r="C62" i="3"/>
  <c r="F60" i="3"/>
  <c r="F58" i="3"/>
  <c r="F56" i="3"/>
  <c r="F54" i="3"/>
  <c r="F48" i="3"/>
  <c r="F46" i="3"/>
  <c r="F44" i="3"/>
  <c r="F42" i="3"/>
  <c r="C38" i="3"/>
  <c r="F37" i="3"/>
  <c r="F35" i="3"/>
  <c r="F33" i="3"/>
  <c r="F50" i="3" s="1"/>
  <c r="F31" i="3"/>
  <c r="F29" i="3"/>
  <c r="F27" i="3"/>
  <c r="C23" i="3"/>
  <c r="F21" i="3"/>
  <c r="F23" i="3" s="1"/>
  <c r="F19" i="3"/>
  <c r="F17" i="3"/>
  <c r="F15" i="3"/>
  <c r="F13" i="3"/>
  <c r="F11" i="3"/>
  <c r="F90" i="5" l="1"/>
  <c r="F38" i="3"/>
</calcChain>
</file>

<file path=xl/sharedStrings.xml><?xml version="1.0" encoding="utf-8"?>
<sst xmlns="http://schemas.openxmlformats.org/spreadsheetml/2006/main" count="546" uniqueCount="340">
  <si>
    <t>UNIVERSITY OF FORT HARE</t>
  </si>
  <si>
    <t>Finance Office Conversion - Alice Campus</t>
  </si>
  <si>
    <t>Bills of Quantities and Project Documentation</t>
  </si>
  <si>
    <t>Revision: 1</t>
  </si>
  <si>
    <t>Date: 11 December 2025</t>
  </si>
  <si>
    <t>DOCUMENT CONTENTS:</t>
  </si>
  <si>
    <t>1. Query List</t>
  </si>
  <si>
    <t>Project Query List (30 queries)</t>
  </si>
  <si>
    <t>2. Bill 1 - Demolitions</t>
  </si>
  <si>
    <t>Bill of Quantities No. 1 - Demolitions (22 items)</t>
  </si>
  <si>
    <t>3. Bill 2 - Foundations</t>
  </si>
  <si>
    <t>Bill of Quantities No. 2 - Foundations (32 items)</t>
  </si>
  <si>
    <t>4. Bill 3 - Floors</t>
  </si>
  <si>
    <t>Bill of Quantities No. 3 - Floors &amp; Finishes (23 items)</t>
  </si>
  <si>
    <t>5. Doors &amp; Windows</t>
  </si>
  <si>
    <t>Doors and Windows Schedule</t>
  </si>
  <si>
    <t>NOTES:</t>
  </si>
  <si>
    <t>• All quantities are provisional and subject to site verification</t>
  </si>
  <si>
    <t>• Refer to Query List for outstanding information requirements</t>
  </si>
  <si>
    <t>• Structural drawings received 10-12-2025 (S-01 series Rev A-E)</t>
  </si>
  <si>
    <t>• Surface beds vs screeds clarified - both required per specifications</t>
  </si>
  <si>
    <t>• Foundation aggregate size corrected to 26mm per structural spec</t>
  </si>
  <si>
    <t>• Bills updated with structural information where available</t>
  </si>
  <si>
    <t>QUERY LIST</t>
  </si>
  <si>
    <t>Item</t>
  </si>
  <si>
    <t>Date</t>
  </si>
  <si>
    <t>Response</t>
  </si>
  <si>
    <t>(This is a continuous list. For date of issue refer to item date)</t>
  </si>
  <si>
    <t>UNIVERSITY OF FORT HARE - FINANCE OFFICE CONVERSION</t>
  </si>
  <si>
    <t>For date of submission see email date</t>
  </si>
  <si>
    <t>Kindly insert your response into this list</t>
  </si>
  <si>
    <t>11-12-2025</t>
  </si>
  <si>
    <t>STRUCT ENG: Confirm surface bed thickness - structural drawings show layout but thickness not clearly indicated. Assume 100mm or 150mm?</t>
  </si>
  <si>
    <t>STRUCT ENG: Confirm extent of new surface beds - Only where timber floors removed (45 m²) OR over all existing concrete areas (380 m²)? Cost impact ~R100,000</t>
  </si>
  <si>
    <t>STRUCT ENG: Provide complete reinforcement schedules - Bar marks shown on Foundation Layout S-01-001 but schedules not provided</t>
  </si>
  <si>
    <t>STRUCT ENG: Extract foundation dimensions from Foundation Layout S-01-001 Rev E for accurate quantity calculations</t>
  </si>
  <si>
    <t>STRUCT ENG: Ring beam details and dimensions from Ring Beam Layout S-01-003 Rev E - Not currently measured in Foundations BOQ</t>
  </si>
  <si>
    <t>STRUCT ENG/ARCH: Existing concrete floor condition survey required - Can floors be prepared and tiled directly or do new surface beds need to be cast over?</t>
  </si>
  <si>
    <t>ARCH: Confirm screed extent - Notes say 'screeds where required'. All areas (380 m²) or selective areas only? Which areas can tiles go directly on prepared surface beds?</t>
  </si>
  <si>
    <t>ARCH: Confirm screed thickness - 50mm throughout or varies by location? Ablutions confirmed 50mm to falls.</t>
  </si>
  <si>
    <t>STRUCT ENG: Confirm DPC specification under surface beds - Type, thickness, and product specification required</t>
  </si>
  <si>
    <t>STRUCT ENG/ARCH: Services coordination critical - All electrical conduits, plumbing pipes and drainage must be in place BEFORE surface bed casting. Services drawings required urgently.</t>
  </si>
  <si>
    <t>08-12-2025</t>
  </si>
  <si>
    <t>ARCH/CIVIL ENG: External paving extent? Will this form part of the Architectural contract or separate civil contract?</t>
  </si>
  <si>
    <t>CIVIL ENG: Paving Layerworks drawing 2025-12-10 received. Confirm base course depths, paver thickness and exact paving area</t>
  </si>
  <si>
    <t>ELEC ENG: Electrical Installation Bills of Quantities required - Demolitions, new installation, lighting, power, data</t>
  </si>
  <si>
    <t>MECH ENG: Mechanical Installation Bills of Quantities required - HVAC, ventilation, fire systems</t>
  </si>
  <si>
    <t>CIVIL ENG: Civil engineering drawings required - Drainage, stormwater, external works details</t>
  </si>
  <si>
    <t>STRUCT ENG: Structural Engineering drawings required</t>
  </si>
  <si>
    <t>10-12-2025</t>
  </si>
  <si>
    <t>Received - S-01 series</t>
  </si>
  <si>
    <t>H&amp;S AGENT: Health and Safety Specification and Bill of Quantities required</t>
  </si>
  <si>
    <t>ARCH: Glass thickness to windows, shopfronts and doors - Specification required for pricing</t>
  </si>
  <si>
    <t>ARCH: Wall and floor tiling specs? I.e. at this stage is the architect wanting the QS to price for Porcelain tiles or Ceramic tiles?</t>
  </si>
  <si>
    <t>ARCH: Are photos of the existing building available for tenderers to review with the tender documents?</t>
  </si>
  <si>
    <t>STRUCT ENG: Where one brick and cavity walls are to be demolished - Confirm which internal walls are loadbearing for structural demolition methodology</t>
  </si>
  <si>
    <t>STRUCT ENG/ARCH: Please confirm which external walls are cavity construction vs solid - Required for accurate brickwork quantities</t>
  </si>
  <si>
    <t>Structural drawings issued</t>
  </si>
  <si>
    <t>ARCH: Exact built-in cupboard linear metres and dimensions - Site measurement required or provide detailed joinery drawings</t>
  </si>
  <si>
    <t>ARCH: Confirmation of existing window and door counts vs drawings - Physical site count recommended</t>
  </si>
  <si>
    <t>ARCH: Tile colour and exact product specification - Client selection required before final pricing</t>
  </si>
  <si>
    <t>ARCH: Skirting colour selection - Capco Gamma products, colours to be confirmed</t>
  </si>
  <si>
    <t>ARCH: Paint colours for all areas - Colour schedule required</t>
  </si>
  <si>
    <t>SURVEYOR: Site survey required for existing floor levels and variations - Critical for accurate surface bed/screed thickness calculations</t>
  </si>
  <si>
    <t>GEOTECH: Existing ground conditions for external works - Geotechnical report or trial pits recommended for paving sub-base design</t>
  </si>
  <si>
    <t>CONTRACTOR: Access for plant and materials delivery - Site visit required to assess access constraints</t>
  </si>
  <si>
    <t>FINANCE OFFICE CONVERSION - ALICE CAMPUS</t>
  </si>
  <si>
    <t>BILLS OF QUANTITIES</t>
  </si>
  <si>
    <t>TRADE: DEMOLITIONS AND ALTERATIONS</t>
  </si>
  <si>
    <t>Description</t>
  </si>
  <si>
    <t>Quantity</t>
  </si>
  <si>
    <t>Unit</t>
  </si>
  <si>
    <t>Rate</t>
  </si>
  <si>
    <t>Amount</t>
  </si>
  <si>
    <t>1.0</t>
  </si>
  <si>
    <t>DEMOLITION OF BRICK WALLS</t>
  </si>
  <si>
    <t>1.1</t>
  </si>
  <si>
    <t>Demolish internal half brick walls (110mm thick), including removal of plaster, making good adjoining surfaces, removal and disposal of debris</t>
  </si>
  <si>
    <t>66.00</t>
  </si>
  <si>
    <t>m²</t>
  </si>
  <si>
    <t>1.2</t>
  </si>
  <si>
    <t>Demolish internal one brick walls (230mm thick), including removal of plaster, making good adjoining surfaces, removal and disposal of debris</t>
  </si>
  <si>
    <t>0.00</t>
  </si>
  <si>
    <t>1.3</t>
  </si>
  <si>
    <t>Demolish external one brick walls (230mm thick), including removal of plaster where applicable, making good adjoining surfaces, removal and disposal of debris</t>
  </si>
  <si>
    <t>43.00</t>
  </si>
  <si>
    <t>1.4</t>
  </si>
  <si>
    <t>Demolish external cavity walls (280-330mm thick), including removal of plaster, making good adjoining surfaces, removal and disposal of debris</t>
  </si>
  <si>
    <t>24.70</t>
  </si>
  <si>
    <t>1.5</t>
  </si>
  <si>
    <t>Demolish existing veranda brick columns (230mm x 230mm), including removal and disposal of debris, make good adjoining surfaces</t>
  </si>
  <si>
    <t>2.08</t>
  </si>
  <si>
    <t>m³</t>
  </si>
  <si>
    <t>1.6</t>
  </si>
  <si>
    <t>Demolish existing veranda low walls (110mm half brick), including removal and disposal of debris, make good adjoining surfaces</t>
  </si>
  <si>
    <t>6.72</t>
  </si>
  <si>
    <t>Subtotal - Demolition of Brick Walls</t>
  </si>
  <si>
    <t>2.0</t>
  </si>
  <si>
    <t>REMOVAL OF DOORS AND WINDOWS</t>
  </si>
  <si>
    <t>2.1</t>
  </si>
  <si>
    <t>Remove existing timber doors (approximate size 925 x 2100mm), set aside for disposal, make good door openings where required</t>
  </si>
  <si>
    <t>6</t>
  </si>
  <si>
    <t>No.</t>
  </si>
  <si>
    <t>2.2</t>
  </si>
  <si>
    <t>Remove existing door frames (timber, approximate section 100 x 75mm), make good wall openings</t>
  </si>
  <si>
    <t>39.4</t>
  </si>
  <si>
    <t>m</t>
  </si>
  <si>
    <t>2.3</t>
  </si>
  <si>
    <t>Remove existing facade doors (size to be confirmed), remove and dispose of debris, make good wall openings</t>
  </si>
  <si>
    <t>2</t>
  </si>
  <si>
    <t>Remove existing garage doors complete with tracks, guides and hardware, remove and dispose of debris</t>
  </si>
  <si>
    <t>2.4</t>
  </si>
  <si>
    <t>Remove existing windows (various sizes), make good wall openings, remove and dispose of debris</t>
  </si>
  <si>
    <t>12</t>
  </si>
  <si>
    <t>2.5</t>
  </si>
  <si>
    <t>Remove existing window frames complete with ironmongery, make good wall openings</t>
  </si>
  <si>
    <t>50.0</t>
  </si>
  <si>
    <t>Subtotal - Doors and Windows</t>
  </si>
  <si>
    <t>3.0</t>
  </si>
  <si>
    <t>REMOVAL OF BUILT-IN JOINERY</t>
  </si>
  <si>
    <t>3.1</t>
  </si>
  <si>
    <t>Demolish built-in cupboards including concrete soffits where applicable, remove and dispose of debris, make good walls and floors</t>
  </si>
  <si>
    <t>15.00</t>
  </si>
  <si>
    <t>3.2</t>
  </si>
  <si>
    <t>Demolish existing built-in reception desk, remove and dispose of debris, make good floor to match existing timber flooring</t>
  </si>
  <si>
    <t>1</t>
  </si>
  <si>
    <t>3.3</t>
  </si>
  <si>
    <t>Demolish existing fireplace, remove and dispose of debris, make good wall opening</t>
  </si>
  <si>
    <t>3.4</t>
  </si>
  <si>
    <t>Demolish existing built-in joinery unit (approximate 1800mm W x 600mm D x 2100mm H) with open timber shelving above (approximate 1800mm W x 300mm D x 900mm H), remove and dispose of debris, make good floor to match existing timber flooring</t>
  </si>
  <si>
    <t>1.80</t>
  </si>
  <si>
    <t>Subtotal - Built-in Joinery</t>
  </si>
  <si>
    <t>4.0</t>
  </si>
  <si>
    <t>REMOVAL OF SANITARY WARE AND PLUMBING</t>
  </si>
  <si>
    <t>4.1</t>
  </si>
  <si>
    <t>Remove existing wash hand basins complete with taps and waste fittings, blank off water supply and drainage, make good walls</t>
  </si>
  <si>
    <t>9</t>
  </si>
  <si>
    <t>4.2</t>
  </si>
  <si>
    <t>Remove existing WC pans complete with cisterns and fittings, blank off water supply and drainage, make good walls and floors</t>
  </si>
  <si>
    <t>5</t>
  </si>
  <si>
    <t>4.3</t>
  </si>
  <si>
    <t>Remove existing sink complete with taps and waste fittings, blank off water supply and drainage, make good walls</t>
  </si>
  <si>
    <t>4.4</t>
  </si>
  <si>
    <t>Remove existing gulley, blank off drainage, make good area</t>
  </si>
  <si>
    <t>Subtotal - Sanitary Ware</t>
  </si>
  <si>
    <t>5.0</t>
  </si>
  <si>
    <t>REMOVAL OF FLOOR FINISHES</t>
  </si>
  <si>
    <t>5.1</t>
  </si>
  <si>
    <t>Remove existing timber flooring including battens where applicable, remove and dispose of debris, make good substrate</t>
  </si>
  <si>
    <t>45</t>
  </si>
  <si>
    <t>5.2</t>
  </si>
  <si>
    <t>Remove existing floor tiles including screed bed, remove and dispose of debris, make good substrate</t>
  </si>
  <si>
    <t>25</t>
  </si>
  <si>
    <t>Subtotal - Floor Finishes</t>
  </si>
  <si>
    <t>6.0</t>
  </si>
  <si>
    <t>EXTERNAL DEMOLITION WORKS</t>
  </si>
  <si>
    <t>6.1</t>
  </si>
  <si>
    <t>Demolish existing external paving, remove and dispose of debris, prepare for new paving as per drawings</t>
  </si>
  <si>
    <t>80</t>
  </si>
  <si>
    <t>6.2</t>
  </si>
  <si>
    <t>Demolish existing concrete slab including plumbing and drainage, terminate services properly, remove and dispose of debris, make good area</t>
  </si>
  <si>
    <t>6.3</t>
  </si>
  <si>
    <t>Demolish existing steps and nib walls, remove and dispose of debris, make good area</t>
  </si>
  <si>
    <t>6.4</t>
  </si>
  <si>
    <t>Remove existing gate, fence and boundary structures as shown on drawings, remove and dispose of debris, clean and make good areas</t>
  </si>
  <si>
    <t>Subtotal - External Works</t>
  </si>
  <si>
    <t>7.0</t>
  </si>
  <si>
    <t>ROOF STRUCTURE DEMOLITION</t>
  </si>
  <si>
    <t>7.1</t>
  </si>
  <si>
    <t>Demolish existing garage roof structure complete including trusses, purlins, bracing, roof covering, ceilings, and all associated components, remove and dispose of debris</t>
  </si>
  <si>
    <t>55</t>
  </si>
  <si>
    <t>7.2</t>
  </si>
  <si>
    <t>Demolish existing main building roof structure complete including trusses, purlins, bracing, roof covering, internal ceilings, and all associated components, remove and dispose of debris. New roof as per new roof plan</t>
  </si>
  <si>
    <t>280</t>
  </si>
  <si>
    <t>7.3</t>
  </si>
  <si>
    <t>Demolish existing veranda roof structure complete including roof covering, ceiling, and all associated components, remove and dispose of debris. New roof as per new roof plan</t>
  </si>
  <si>
    <t>35</t>
  </si>
  <si>
    <t>Subtotal - Roof Demolition</t>
  </si>
  <si>
    <t>8.0</t>
  </si>
  <si>
    <t>MAKING GOOD AND GENERAL ITEMS</t>
  </si>
  <si>
    <t>8.1</t>
  </si>
  <si>
    <t>General attendance on demolition works including protection of areas to remain, temporary support where required, cleaning as work proceeds, and final clean up on completion</t>
  </si>
  <si>
    <t>8.2</t>
  </si>
  <si>
    <t>8.3</t>
  </si>
  <si>
    <t>1. All demolition work to be carried out in accordance with the demolition drawings A-01-1002 and A-01-1003</t>
  </si>
  <si>
    <t>2.6</t>
  </si>
  <si>
    <t>3. All debris to be removed from site and disposed of at licensed waste disposal facilities</t>
  </si>
  <si>
    <t>4. All areas to be made good to match existing finishes unless otherwise specified</t>
  </si>
  <si>
    <t>5. Existing ablution block to remain unaffected - area to be cleaned and made good</t>
  </si>
  <si>
    <t>6. Contractor to protect all areas to remain and ensure safe working at all times</t>
  </si>
  <si>
    <t>7. Rates to include for all labour, materials, plant, disposal and making good</t>
  </si>
  <si>
    <t>ITEM NO</t>
  </si>
  <si>
    <t>DESCRIPTION</t>
  </si>
  <si>
    <t>UNIT</t>
  </si>
  <si>
    <t>QUANTITY</t>
  </si>
  <si>
    <t>RATE</t>
  </si>
  <si>
    <t>AMOUNT</t>
  </si>
  <si>
    <t>BILL NO. 3</t>
  </si>
  <si>
    <t>FOUNDATIONS</t>
  </si>
  <si>
    <t>PREAMBLES</t>
  </si>
  <si>
    <t>1. EARTHWORKS</t>
  </si>
  <si>
    <t>Site Clearance</t>
  </si>
  <si>
    <t>Clear site of vegetation, topsoil, rubble and other deleterious material to a depth of 150mm. Remove from site</t>
  </si>
  <si>
    <t>Excavations</t>
  </si>
  <si>
    <t>Excavate in material other than rock for new concrete stairs foundation to a depth not exceeding 1.00m below natural ground level, cart away surplus material and dispose of off site</t>
  </si>
  <si>
    <t>Excavate in material other than rock for new concrete seating foundation to a depth not exceeding 0.80m below natural ground level, cart away surplus material and dispose of off site</t>
  </si>
  <si>
    <t>Excavate in material other than rock for new planter beds to a depth not exceeding 0.50m below ground level, cart away surplus material and dispose of off site</t>
  </si>
  <si>
    <t>Excavate in material other than rock for service trenches not exceeding 0.80m deep, cart away surplus material and dispose of off site</t>
  </si>
  <si>
    <t>Filling</t>
  </si>
  <si>
    <t>Selected imported material filling in layers not exceeding 150mm compacted to 95% Mod AASHTO density under new external paving and stairs</t>
  </si>
  <si>
    <t>1.7</t>
  </si>
  <si>
    <t>Selected imported material filling in planter beds, including topsoil to top 300mm</t>
  </si>
  <si>
    <t>1.8</t>
  </si>
  <si>
    <t>Blinding with 25mm thick sand blinding to formation level under concrete</t>
  </si>
  <si>
    <t>CARRIED FORWARD TO SUMMARY</t>
  </si>
  <si>
    <t>2. CONCRETE, FORMWORK AND REINFORCEMENT</t>
  </si>
  <si>
    <t>Foundations - Concrete Grade 25/19</t>
  </si>
  <si>
    <t>150mm thick mass concrete blinding grade 15/19 under new stairs foundation</t>
  </si>
  <si>
    <t>300mm thick reinforced concrete strip foundation grade 25 MPa / 26mm for new stairs, including compacting, levelling and curing</t>
  </si>
  <si>
    <t>200mm thick reinforced concrete pad foundation grade 25 MPa / 26mm for new concrete seating, including compacting, levelling and curing</t>
  </si>
  <si>
    <t>Superstructure - Concrete Grade 30/19</t>
  </si>
  <si>
    <t>Reinforced concrete stairs in treads and risers grade 30/19, thickness average 180mm, including compacting, levelling, steel trowel finish to treads and curing</t>
  </si>
  <si>
    <t>Reinforced concrete seating with upstand grade 30/19, thickness average 150mm, including smooth float finish to seat and curing</t>
  </si>
  <si>
    <t>100mm thick mass concrete grade 25 MPa / 26mm surround to new drainage including compacting, levelling and curing</t>
  </si>
  <si>
    <t>Formwork</t>
  </si>
  <si>
    <t>2.7</t>
  </si>
  <si>
    <t>Formwork to edges of concrete strip foundations, height not exceeding 300mm</t>
  </si>
  <si>
    <t>2.8</t>
  </si>
  <si>
    <t>Formwork to sides of concrete stairs, height average 1.20m</t>
  </si>
  <si>
    <t>2.9</t>
  </si>
  <si>
    <t>Formwork to edges and sides of concrete seating including fair face finish, height average 0.70m</t>
  </si>
  <si>
    <t>2.10</t>
  </si>
  <si>
    <t>Formwork to soffits of stairs, including strutting and propping</t>
  </si>
  <si>
    <t>Reinforcement - Grade 450MPa</t>
  </si>
  <si>
    <t>2.11</t>
  </si>
  <si>
    <t>Y12 bars in strip foundation, including laps, tying wire, chairs and spacers</t>
  </si>
  <si>
    <t>t</t>
  </si>
  <si>
    <t>2.12</t>
  </si>
  <si>
    <t>Y12 bars in pad foundation for seating, including laps, tying wire, chairs and spacers</t>
  </si>
  <si>
    <t>2.13</t>
  </si>
  <si>
    <t>Y12 and Y16 bars in concrete stairs, including laps, tying wire, chairs and spacers</t>
  </si>
  <si>
    <t>2.14</t>
  </si>
  <si>
    <t>Y10 and Y12 bars in concrete seating, including laps, tying wire, chairs and spacers</t>
  </si>
  <si>
    <t>2.15</t>
  </si>
  <si>
    <t>F82 fabric reinforcement in seating top, including laps of 300mm and tying wire</t>
  </si>
  <si>
    <t>Joints and Accessories</t>
  </si>
  <si>
    <t>2.16</t>
  </si>
  <si>
    <t>19mm thick premoulded compressible filler joint in concrete seating at 3.00m maximum centres</t>
  </si>
  <si>
    <t>2.17</t>
  </si>
  <si>
    <t>Polysulphide sealant to movement joints, 20 x 10mm in cross-section</t>
  </si>
  <si>
    <t>3. MASONRY</t>
  </si>
  <si>
    <t>Brickwork - Below Ground</t>
  </si>
  <si>
    <t>230mm (one brick) walls in Corobrik breeze blocks laid in class II mortar (1:4 cement:sand) below ground level to new planter beds</t>
  </si>
  <si>
    <t>Damp-proof Courses</t>
  </si>
  <si>
    <t>375mm wide bituminous damp-proof course to planter walls, lapped 150mm at joints</t>
  </si>
  <si>
    <t>4. WATERPROOFING</t>
  </si>
  <si>
    <t>Waterproofing to Concrete</t>
  </si>
  <si>
    <t>Two coats bituminous waterproofing compound applied to external face of planter walls below ground level</t>
  </si>
  <si>
    <t>Heavy duty polythene sheeting DPC under new concrete floors, lapped 150mm at joints, turned up 150mm at edges</t>
  </si>
  <si>
    <t>BILL NO. 3 - FOUNDATIONS SUMMARY</t>
  </si>
  <si>
    <t>TOTAL CARRIED TO FINAL SUMMARY</t>
  </si>
  <si>
    <t>STRUCTURAL DRAWINGS RECEIVED:</t>
  </si>
  <si>
    <t>BILL NO. 4</t>
  </si>
  <si>
    <t>FLOOR FINISHES, SKIRTINGS AND EXTERNAL PAVING</t>
  </si>
  <si>
    <t>1. CONCRETE FLOORS AND SCREEDS</t>
  </si>
  <si>
    <t>Preparation to Existing Floors</t>
  </si>
  <si>
    <t>Hack up and remove existing timber floor boards and battens, cart away and dispose of off site (as measured in demolitions)</t>
  </si>
  <si>
    <t>Prepare and level existing concrete floor surfaces to receive new finishes including filling, levelling and removal of all loose and friable material</t>
  </si>
  <si>
    <t>New Concrete Floors</t>
  </si>
  <si>
    <t>100mm thick mass concrete floor slab grade 25/19 on 125µm polythene DPC on 50mm thick sand blinding in areas where existing timber floor removed</t>
  </si>
  <si>
    <t>Floor Screeds</t>
  </si>
  <si>
    <t>100mm thick power floated concrete surface bed grade 30 MPa / 19mm to receive tile adhesive on existing concrete floors, including curing</t>
  </si>
  <si>
    <t>100mm thick power floated concrete surface bed grade 30 MPa / 19mm to receive tile adhesive on new concrete slab, including curing</t>
  </si>
  <si>
    <t>50mm thick cement sand screed (1:3 mix) steel trowel finished to falls in ablution areas including curing</t>
  </si>
  <si>
    <t>2. FLOOR COVERINGS</t>
  </si>
  <si>
    <t>Internal Ceramic Floor Tiles</t>
  </si>
  <si>
    <t>600 x 600 x 10mm first grade porcelain ceramic floor tiles to SANS 1285, colour and finish to be confirmed, laid on and including Tal Professional flexible tile adhesive applied as per manufacturer's specifications, grouted with Tal Fine Epoxy grout in 3mm wide joints, colour to be confirmed, on floors in general areas</t>
  </si>
  <si>
    <t>600 x 600 x 10mm first grade non-slip porcelain ceramic floor tiles to SANS 1285, colour and finish to be confirmed, laid on and including Tal Professional flexible tile adhesive, grouted with Tal Fine Epoxy grout in 3mm joints, colour to be confirmed, on floors in ablution areas</t>
  </si>
  <si>
    <t>External Ceramic Floor Tiles</t>
  </si>
  <si>
    <t>600 x 600 x 12mm first grade exterior grade non-slip porcelain ceramic floor tiles to SANS 1285, colour and finish to be confirmed, laid on and including Tal GOLDFLEX flexible tile adhesive, grouted with Tal Fine Epoxy grout in 3mm joints, colour to be confirmed, on veranda floor</t>
  </si>
  <si>
    <t>Cutting and Accessories</t>
  </si>
  <si>
    <t>Circular cutting to floor tiles around pipes, columns and other obstructions</t>
  </si>
  <si>
    <t>MTrim aluminium transition cover strip 29 x 8mm between different floor finishes including fixing</t>
  </si>
  <si>
    <t>MTrim 10mm movement joint in floor tiling at maximum 4-5m centres including fixing and sealing</t>
  </si>
  <si>
    <t>3. SKIRTINGS</t>
  </si>
  <si>
    <t>Skirting Type 01 - Base Reveal Skirting</t>
  </si>
  <si>
    <t>Capco Gamma Base Reveal 75 drywall trim skirting installed as per manufacturer's specifications with concealed fixing using suitable bonding agent, colour to be confirmed, including 45° mitred corners at junctions to new drywalls</t>
  </si>
  <si>
    <t>Skirting Type 02 - Flat Skirting</t>
  </si>
  <si>
    <t>Capco Gamma common section 76 flat skirting installed as per manufacturer's specifications with concealed fixing using suitable bonding agent, colour to be confirmed, including 45° mitred corners at junctions to existing walls</t>
  </si>
  <si>
    <t>4. EXTERNAL PAVING</t>
  </si>
  <si>
    <t>Base Preparation</t>
  </si>
  <si>
    <t>Excavate for paving to a depth of 200mm below finished paving level, cart away surplus material and dispose of off site</t>
  </si>
  <si>
    <t>150mm thick compacted layer of G5 crusher run base course compacted to 95% Mod AASHTO density under paving</t>
  </si>
  <si>
    <t>50mm thick bedding sand under paving, levelled and compacted</t>
  </si>
  <si>
    <t>Concrete Paving</t>
  </si>
  <si>
    <t>60mm thick precast concrete paving blocks, colour and finish to be confirmed, laid on bedding sand in basket weave pattern, joints filled with sand, vibrated and compacted</t>
  </si>
  <si>
    <t>Edging and Accessories</t>
  </si>
  <si>
    <t>4.5</t>
  </si>
  <si>
    <t>Precast concrete kerb edging 200 x 100mm laid on and including 100mm thick concrete haunching grade 15/19</t>
  </si>
  <si>
    <t>BILL NO. 4 - FLOOR FINISHES SUMMARY</t>
  </si>
  <si>
    <t>STRUCTURAL DRAWINGS RECEIVED - CRITICAL UPDATE:</t>
  </si>
  <si>
    <t>UNIVERSITY OF FORT HARE - FINANCE OFFICE</t>
  </si>
  <si>
    <t>DOORS TO BE REMOVED - SCHEDULE</t>
  </si>
  <si>
    <t>Location</t>
  </si>
  <si>
    <t>Width (mm)</t>
  </si>
  <si>
    <t>Height (mm)</t>
  </si>
  <si>
    <t>Type</t>
  </si>
  <si>
    <t>Notes</t>
  </si>
  <si>
    <t>D1</t>
  </si>
  <si>
    <t>Internal - central area</t>
  </si>
  <si>
    <t>925</t>
  </si>
  <si>
    <t>2100</t>
  </si>
  <si>
    <t>Timber door &amp; frame</t>
  </si>
  <si>
    <t>Remove complete with frame</t>
  </si>
  <si>
    <t>D2</t>
  </si>
  <si>
    <t>Internal - bathroom area</t>
  </si>
  <si>
    <t>D3</t>
  </si>
  <si>
    <t>Internal - passage</t>
  </si>
  <si>
    <t>D4</t>
  </si>
  <si>
    <t>Internal - office</t>
  </si>
  <si>
    <t>D5</t>
  </si>
  <si>
    <t>680</t>
  </si>
  <si>
    <t>D6</t>
  </si>
  <si>
    <t>960</t>
  </si>
  <si>
    <t>D7</t>
  </si>
  <si>
    <t>Facade - front entrance</t>
  </si>
  <si>
    <t>1800</t>
  </si>
  <si>
    <t>2400</t>
  </si>
  <si>
    <t>Door &amp; frame (TBC)</t>
  </si>
  <si>
    <t>Confirm type on site</t>
  </si>
  <si>
    <t>D8</t>
  </si>
  <si>
    <t>Facade - side entrance</t>
  </si>
  <si>
    <t>900</t>
  </si>
  <si>
    <t>D9</t>
  </si>
  <si>
    <t>Garage door 1</t>
  </si>
  <si>
    <t>2500</t>
  </si>
  <si>
    <t>Garage door</t>
  </si>
  <si>
    <t>Size estimated - confirm</t>
  </si>
  <si>
    <t>D10</t>
  </si>
  <si>
    <t>Garage door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</si>
</sst>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6"/>
      <name val="Calibri"/>
      <family val="2"/>
    </font>
    <font>
      <b/>
      <sz val="14"/>
      <name val="Calibri"/>
      <family val="2"/>
    </font>
    <font>
      <sz val="12"/>
      <name val="Calibri"/>
      <family val="2"/>
    </font>
    <font>
      <b/>
      <sz val="11"/>
      <name val="Calibri"/>
      <family val="2"/>
    </font>
    <font>
      <sz val="10"/>
      <name val="Calibri"/>
      <family val="2"/>
    </font>
    <font>
      <b/>
      <u/>
      <sz val="12"/>
      <name val="Calibri"/>
      <family val="2"/>
    </font>
    <font>
      <b/>
      <sz val="10"/>
      <name val="Calibri"/>
      <family val="2"/>
    </font>
    <font>
      <i/>
      <sz val="8"/>
      <name val="Calibri"/>
      <family val="2"/>
    </font>
    <font>
      <i/>
      <sz val="9"/>
      <name val="Calibri"/>
      <family val="2"/>
    </font>
    <font>
      <sz val="9"/>
      <name val="Calibri"/>
      <family val="2"/>
    </font>
    <font>
      <sz val="11"/>
      <color theme="1"/>
      <name val="Calibri"/>
      <family val="2"/>
    </font>
    <font>
      <b/>
      <sz val="12"/>
      <name val="Calibri"/>
      <family val="2"/>
    </font>
    <font>
      <b/>
      <sz val="11"/>
      <color rgb="FFFFFFFF"/>
      <name val="Calibri"/>
      <family val="2"/>
    </font>
    <font>
      <b/>
      <sz val="11"/>
      <name val="Calibri"/>
      <family val="2"/>
    </font>
    <font>
      <b/>
      <i/>
      <sz val="9"/>
      <name val="Calibri"/>
      <family val="2"/>
    </font>
    <font>
      <b/>
      <sz val="9"/>
      <name val="Calibri"/>
      <family val="2"/>
    </font>
    <font>
      <b/>
      <sz val="10"/>
      <color rgb="FF0000FF"/>
      <name val="Calibri"/>
      <family val="2"/>
    </font>
    <font>
      <b/>
      <sz val="10"/>
      <color rgb="FFFF0000"/>
      <name val="Calibri"/>
      <family val="2"/>
    </font>
    <font>
      <b/>
      <u/>
      <sz val="10"/>
      <name val="Calibri"/>
      <family val="2"/>
    </font>
  </fonts>
  <fills count="7">
    <fill>
      <patternFill patternType="none"/>
    </fill>
    <fill>
      <patternFill patternType="gray125"/>
    </fill>
    <fill>
      <patternFill patternType="solid">
        <fgColor rgb="FFE7E6E6"/>
        <bgColor rgb="FFE7E6E6"/>
      </patternFill>
    </fill>
    <fill>
      <patternFill patternType="solid">
        <fgColor rgb="FFD9F2D9"/>
        <bgColor rgb="FFD9F2D9"/>
      </patternFill>
    </fill>
    <fill>
      <patternFill patternType="solid">
        <fgColor rgb="FF366092"/>
        <bgColor rgb="FF366092"/>
      </patternFill>
    </fill>
    <fill>
      <patternFill patternType="solid">
        <fgColor rgb="FFD9E1F2"/>
        <bgColor rgb="FFD9E1F2"/>
      </patternFill>
    </fill>
    <fill>
      <patternFill patternType="solid">
        <fgColor rgb="FFF2F2F2"/>
        <bgColor rgb="FFF2F2F2"/>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5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9" fillId="0" borderId="0" xfId="0" applyFont="1"/>
    <xf numFmtId="0" fontId="9" fillId="0" borderId="0" xfId="0" applyFont="1"/>
    <xf numFmtId="0" fontId="7" fillId="0" borderId="1" xfId="0" applyFont="1" applyBorder="1"/>
    <xf numFmtId="0" fontId="5" fillId="0" borderId="1" xfId="0" applyFont="1" applyBorder="1" applyAlignment="1">
      <alignment horizontal="left" vertical="top" wrapText="1"/>
    </xf>
    <xf numFmtId="0" fontId="5" fillId="0" borderId="0" xfId="0" applyFont="1" applyAlignment="1">
      <alignment horizontal="left" vertical="top" wrapText="1"/>
    </xf>
    <xf numFmtId="0" fontId="5" fillId="2"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13" fillId="4" borderId="1" xfId="0" applyFont="1" applyFill="1" applyBorder="1" applyAlignment="1">
      <alignment horizontal="center" vertical="center"/>
    </xf>
    <xf numFmtId="0" fontId="13" fillId="4" borderId="1" xfId="0" applyFont="1" applyFill="1" applyBorder="1" applyAlignment="1">
      <alignment horizontal="left" vertical="center" wrapText="1"/>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 xfId="0" applyFont="1" applyBorder="1" applyAlignment="1">
      <alignment horizontal="right" vertical="center"/>
    </xf>
    <xf numFmtId="4" fontId="11" fillId="0" borderId="1" xfId="0" applyNumberFormat="1" applyFont="1" applyBorder="1" applyAlignment="1">
      <alignment horizontal="right" vertical="center"/>
    </xf>
    <xf numFmtId="0" fontId="7" fillId="5" borderId="1" xfId="0" applyFont="1" applyFill="1" applyBorder="1" applyAlignment="1">
      <alignment horizontal="center" vertical="center"/>
    </xf>
    <xf numFmtId="0" fontId="14" fillId="0" borderId="1" xfId="0" applyFont="1" applyBorder="1" applyAlignment="1">
      <alignment horizontal="center" vertical="center"/>
    </xf>
    <xf numFmtId="0" fontId="11" fillId="0" borderId="1" xfId="0" applyFont="1" applyBorder="1"/>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4" fontId="14" fillId="6" borderId="1" xfId="0" applyNumberFormat="1" applyFont="1" applyFill="1" applyBorder="1" applyAlignment="1">
      <alignment horizontal="right" vertical="center"/>
    </xf>
    <xf numFmtId="0" fontId="14" fillId="6" borderId="1" xfId="0" applyFont="1" applyFill="1" applyBorder="1" applyAlignment="1">
      <alignment horizontal="right" vertical="center"/>
    </xf>
    <xf numFmtId="0" fontId="11" fillId="0" borderId="2" xfId="0" applyFont="1" applyBorder="1"/>
    <xf numFmtId="0" fontId="11" fillId="0" borderId="3" xfId="0" applyFont="1" applyBorder="1"/>
    <xf numFmtId="0" fontId="16" fillId="0" borderId="1" xfId="0" applyFont="1" applyBorder="1"/>
    <xf numFmtId="4" fontId="14" fillId="0" borderId="1" xfId="0" applyNumberFormat="1" applyFont="1" applyBorder="1"/>
    <xf numFmtId="0" fontId="14" fillId="0" borderId="1" xfId="0" applyFont="1" applyBorder="1"/>
    <xf numFmtId="4" fontId="11" fillId="0" borderId="1" xfId="0" applyNumberFormat="1" applyFont="1" applyBorder="1"/>
    <xf numFmtId="0" fontId="11" fillId="0" borderId="4" xfId="0" applyFont="1" applyBorder="1"/>
    <xf numFmtId="0" fontId="4" fillId="0" borderId="4" xfId="0" applyFont="1" applyBorder="1"/>
    <xf numFmtId="4" fontId="4" fillId="2" borderId="4" xfId="0" applyNumberFormat="1" applyFont="1" applyFill="1" applyBorder="1"/>
    <xf numFmtId="0" fontId="5" fillId="0" borderId="0" xfId="0" applyFont="1" applyAlignment="1">
      <alignment horizontal="left" vertical="top" wrapText="1"/>
    </xf>
    <xf numFmtId="0" fontId="9" fillId="0" borderId="0" xfId="0" applyFont="1"/>
    <xf numFmtId="0" fontId="0" fillId="0" borderId="0" xfId="0"/>
    <xf numFmtId="0" fontId="4" fillId="0" borderId="0" xfId="0" applyFont="1"/>
    <xf numFmtId="0" fontId="8" fillId="0" borderId="0" xfId="0" applyFont="1"/>
    <xf numFmtId="0" fontId="2" fillId="0" borderId="0" xfId="0" applyFont="1" applyAlignment="1">
      <alignment horizontal="center" vertical="center"/>
    </xf>
    <xf numFmtId="0" fontId="12" fillId="0" borderId="1" xfId="0" applyFont="1" applyBorder="1"/>
    <xf numFmtId="0" fontId="0" fillId="0" borderId="2" xfId="0" applyBorder="1"/>
    <xf numFmtId="0" fontId="0" fillId="0" borderId="3" xfId="0" applyBorder="1"/>
    <xf numFmtId="0" fontId="14" fillId="6" borderId="1" xfId="0" applyFont="1" applyFill="1" applyBorder="1" applyAlignment="1">
      <alignment horizontal="center" vertical="center"/>
    </xf>
    <xf numFmtId="0" fontId="2" fillId="0" borderId="1" xfId="0" applyFont="1" applyBorder="1"/>
    <xf numFmtId="0" fontId="11" fillId="0" borderId="1" xfId="0" applyFont="1" applyBorder="1" applyAlignment="1">
      <alignment horizontal="center" vertical="center"/>
    </xf>
    <xf numFmtId="0" fontId="4" fillId="0" borderId="1" xfId="0" applyFont="1" applyBorder="1"/>
    <xf numFmtId="0" fontId="14" fillId="0" borderId="1" xfId="0" applyFont="1" applyBorder="1" applyAlignment="1">
      <alignment horizontal="center" vertical="center"/>
    </xf>
    <xf numFmtId="0" fontId="15" fillId="2"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17" fillId="0" borderId="0" xfId="0" applyFont="1"/>
    <xf numFmtId="0" fontId="18" fillId="0" borderId="0" xfId="0" applyFont="1"/>
    <xf numFmtId="0" fontId="12"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workbookViewId="0"/>
  </sheetViews>
  <sheetFormatPr defaultRowHeight="14.4" x14ac:dyDescent="0.3"/>
  <cols>
    <col min="1" max="1" width="5" customWidth="1"/>
    <col min="2" max="2" width="40" customWidth="1"/>
    <col min="3" max="3" width="50" customWidth="1"/>
  </cols>
  <sheetData>
    <row r="2" spans="2:3" ht="21" x14ac:dyDescent="0.4">
      <c r="B2" s="1" t="s">
        <v>0</v>
      </c>
    </row>
    <row r="3" spans="2:3" ht="18" x14ac:dyDescent="0.35">
      <c r="B3" s="2" t="s">
        <v>1</v>
      </c>
    </row>
    <row r="4" spans="2:3" ht="15.6" x14ac:dyDescent="0.3">
      <c r="B4" s="3" t="s">
        <v>2</v>
      </c>
    </row>
    <row r="6" spans="2:3" x14ac:dyDescent="0.3">
      <c r="B6" s="4" t="s">
        <v>3</v>
      </c>
    </row>
    <row r="7" spans="2:3" x14ac:dyDescent="0.3">
      <c r="B7" s="5" t="s">
        <v>4</v>
      </c>
    </row>
    <row r="9" spans="2:3" ht="15.6" x14ac:dyDescent="0.3">
      <c r="B9" s="6" t="s">
        <v>5</v>
      </c>
    </row>
    <row r="11" spans="2:3" x14ac:dyDescent="0.3">
      <c r="B11" s="7" t="s">
        <v>6</v>
      </c>
      <c r="C11" s="8" t="s">
        <v>7</v>
      </c>
    </row>
    <row r="12" spans="2:3" x14ac:dyDescent="0.3">
      <c r="B12" s="7" t="s">
        <v>8</v>
      </c>
      <c r="C12" s="8" t="s">
        <v>9</v>
      </c>
    </row>
    <row r="13" spans="2:3" x14ac:dyDescent="0.3">
      <c r="B13" s="7" t="s">
        <v>10</v>
      </c>
      <c r="C13" s="8" t="s">
        <v>11</v>
      </c>
    </row>
    <row r="14" spans="2:3" x14ac:dyDescent="0.3">
      <c r="B14" s="7" t="s">
        <v>12</v>
      </c>
      <c r="C14" s="8" t="s">
        <v>13</v>
      </c>
    </row>
    <row r="15" spans="2:3" x14ac:dyDescent="0.3">
      <c r="B15" s="7" t="s">
        <v>14</v>
      </c>
      <c r="C15" s="8" t="s">
        <v>15</v>
      </c>
    </row>
    <row r="18" spans="2:2" x14ac:dyDescent="0.3">
      <c r="B18" s="9" t="s">
        <v>16</v>
      </c>
    </row>
    <row r="19" spans="2:2" x14ac:dyDescent="0.3">
      <c r="B19" s="10" t="s">
        <v>17</v>
      </c>
    </row>
    <row r="20" spans="2:2" x14ac:dyDescent="0.3">
      <c r="B20" s="10" t="s">
        <v>18</v>
      </c>
    </row>
    <row r="21" spans="2:2" x14ac:dyDescent="0.3">
      <c r="B21" s="10" t="s">
        <v>19</v>
      </c>
    </row>
    <row r="22" spans="2:2" x14ac:dyDescent="0.3">
      <c r="B22" s="10" t="s">
        <v>20</v>
      </c>
    </row>
    <row r="23" spans="2:2" x14ac:dyDescent="0.3">
      <c r="B23" s="10" t="s">
        <v>21</v>
      </c>
    </row>
    <row r="24" spans="2:2" x14ac:dyDescent="0.3">
      <c r="B24" s="10"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8"/>
  <sheetViews>
    <sheetView workbookViewId="0"/>
  </sheetViews>
  <sheetFormatPr defaultRowHeight="14.4" x14ac:dyDescent="0.3"/>
  <cols>
    <col min="1" max="1" width="5" customWidth="1"/>
    <col min="2" max="2" width="12" customWidth="1"/>
    <col min="3" max="3" width="80" customWidth="1"/>
    <col min="4" max="4" width="12" customWidth="1"/>
    <col min="5" max="5" width="20" customWidth="1"/>
    <col min="6" max="6" width="10" customWidth="1"/>
  </cols>
  <sheetData>
    <row r="1" spans="1:6" ht="18" x14ac:dyDescent="0.3">
      <c r="C1" s="43" t="s">
        <v>23</v>
      </c>
      <c r="D1" s="40"/>
    </row>
    <row r="3" spans="1:6" x14ac:dyDescent="0.3">
      <c r="A3" s="11" t="s">
        <v>24</v>
      </c>
      <c r="B3" s="11" t="s">
        <v>25</v>
      </c>
      <c r="C3" s="7"/>
      <c r="D3" s="11" t="s">
        <v>25</v>
      </c>
      <c r="E3" s="11" t="s">
        <v>26</v>
      </c>
      <c r="F3" s="7"/>
    </row>
    <row r="4" spans="1:6" x14ac:dyDescent="0.3">
      <c r="B4" s="42" t="s">
        <v>27</v>
      </c>
      <c r="C4" s="40"/>
      <c r="D4" s="40"/>
      <c r="E4" s="40"/>
    </row>
    <row r="6" spans="1:6" x14ac:dyDescent="0.3">
      <c r="B6" s="41" t="s">
        <v>28</v>
      </c>
      <c r="C6" s="40"/>
      <c r="D6" s="40"/>
      <c r="E6" s="40"/>
    </row>
    <row r="7" spans="1:6" x14ac:dyDescent="0.3">
      <c r="B7" s="39" t="s">
        <v>29</v>
      </c>
      <c r="C7" s="40"/>
      <c r="D7" s="10" t="s">
        <v>30</v>
      </c>
    </row>
    <row r="9" spans="1:6" ht="45" customHeight="1" x14ac:dyDescent="0.3">
      <c r="A9" s="12">
        <v>1</v>
      </c>
      <c r="B9" s="12" t="s">
        <v>31</v>
      </c>
      <c r="C9" s="38" t="s">
        <v>32</v>
      </c>
      <c r="D9" s="13"/>
      <c r="E9" s="13"/>
    </row>
    <row r="10" spans="1:6" ht="6" customHeight="1" x14ac:dyDescent="0.3">
      <c r="A10" s="13"/>
      <c r="B10" s="13"/>
      <c r="C10" s="13"/>
      <c r="D10" s="13"/>
      <c r="E10" s="13"/>
    </row>
    <row r="11" spans="1:6" ht="45" customHeight="1" x14ac:dyDescent="0.3">
      <c r="A11" s="12">
        <v>2</v>
      </c>
      <c r="B11" s="12" t="s">
        <v>31</v>
      </c>
      <c r="C11" s="38" t="s">
        <v>33</v>
      </c>
      <c r="D11" s="13"/>
      <c r="E11" s="13"/>
    </row>
    <row r="12" spans="1:6" ht="6" customHeight="1" x14ac:dyDescent="0.3">
      <c r="A12" s="13"/>
      <c r="B12" s="13"/>
      <c r="C12" s="13"/>
      <c r="D12" s="13"/>
      <c r="E12" s="13"/>
    </row>
    <row r="13" spans="1:6" ht="45" customHeight="1" x14ac:dyDescent="0.3">
      <c r="A13" s="12">
        <v>3</v>
      </c>
      <c r="B13" s="12" t="s">
        <v>31</v>
      </c>
      <c r="C13" s="38" t="s">
        <v>34</v>
      </c>
      <c r="D13" s="13"/>
      <c r="E13" s="13"/>
    </row>
    <row r="14" spans="1:6" ht="6" customHeight="1" x14ac:dyDescent="0.3">
      <c r="A14" s="13"/>
      <c r="B14" s="13"/>
      <c r="C14" s="13"/>
      <c r="D14" s="13"/>
      <c r="E14" s="13"/>
    </row>
    <row r="15" spans="1:6" ht="45" customHeight="1" x14ac:dyDescent="0.3">
      <c r="A15" s="12">
        <v>4</v>
      </c>
      <c r="B15" s="12" t="s">
        <v>31</v>
      </c>
      <c r="C15" s="38" t="s">
        <v>35</v>
      </c>
      <c r="D15" s="13"/>
      <c r="E15" s="13"/>
    </row>
    <row r="16" spans="1:6" ht="6" customHeight="1" x14ac:dyDescent="0.3">
      <c r="A16" s="13"/>
      <c r="B16" s="13"/>
      <c r="C16" s="13"/>
      <c r="D16" s="13"/>
      <c r="E16" s="13"/>
    </row>
    <row r="17" spans="1:5" ht="45" customHeight="1" x14ac:dyDescent="0.3">
      <c r="A17" s="12">
        <v>5</v>
      </c>
      <c r="B17" s="12" t="s">
        <v>31</v>
      </c>
      <c r="C17" s="38" t="s">
        <v>36</v>
      </c>
      <c r="D17" s="13"/>
      <c r="E17" s="13"/>
    </row>
    <row r="18" spans="1:5" ht="6" customHeight="1" x14ac:dyDescent="0.3">
      <c r="A18" s="13"/>
      <c r="B18" s="13"/>
      <c r="C18" s="13"/>
      <c r="D18" s="13"/>
      <c r="E18" s="13"/>
    </row>
    <row r="19" spans="1:5" ht="45" customHeight="1" x14ac:dyDescent="0.3">
      <c r="A19" s="12">
        <v>6</v>
      </c>
      <c r="B19" s="12" t="s">
        <v>31</v>
      </c>
      <c r="C19" s="38" t="s">
        <v>37</v>
      </c>
      <c r="D19" s="13"/>
      <c r="E19" s="13"/>
    </row>
    <row r="20" spans="1:5" ht="6" customHeight="1" x14ac:dyDescent="0.3">
      <c r="A20" s="13"/>
      <c r="B20" s="13"/>
      <c r="C20" s="13"/>
      <c r="D20" s="13"/>
      <c r="E20" s="13"/>
    </row>
    <row r="21" spans="1:5" ht="45" customHeight="1" x14ac:dyDescent="0.3">
      <c r="A21" s="12">
        <v>7</v>
      </c>
      <c r="B21" s="12" t="s">
        <v>31</v>
      </c>
      <c r="C21" s="38" t="s">
        <v>38</v>
      </c>
      <c r="D21" s="13"/>
      <c r="E21" s="13"/>
    </row>
    <row r="22" spans="1:5" ht="6" customHeight="1" x14ac:dyDescent="0.3">
      <c r="A22" s="13"/>
      <c r="B22" s="13"/>
      <c r="C22" s="13"/>
      <c r="D22" s="13"/>
      <c r="E22" s="13"/>
    </row>
    <row r="23" spans="1:5" ht="45" customHeight="1" x14ac:dyDescent="0.3">
      <c r="A23" s="12">
        <v>8</v>
      </c>
      <c r="B23" s="12" t="s">
        <v>31</v>
      </c>
      <c r="C23" s="38" t="s">
        <v>39</v>
      </c>
      <c r="D23" s="13"/>
      <c r="E23" s="13"/>
    </row>
    <row r="24" spans="1:5" ht="6" customHeight="1" x14ac:dyDescent="0.3">
      <c r="A24" s="13"/>
      <c r="B24" s="13"/>
      <c r="C24" s="13"/>
      <c r="D24" s="13"/>
      <c r="E24" s="13"/>
    </row>
    <row r="25" spans="1:5" ht="45" customHeight="1" x14ac:dyDescent="0.3">
      <c r="A25" s="12">
        <v>9</v>
      </c>
      <c r="B25" s="12" t="s">
        <v>31</v>
      </c>
      <c r="C25" s="38" t="s">
        <v>40</v>
      </c>
      <c r="D25" s="13"/>
      <c r="E25" s="13"/>
    </row>
    <row r="26" spans="1:5" ht="6" customHeight="1" x14ac:dyDescent="0.3">
      <c r="A26" s="13"/>
      <c r="B26" s="13"/>
      <c r="C26" s="13"/>
      <c r="D26" s="13"/>
      <c r="E26" s="13"/>
    </row>
    <row r="27" spans="1:5" ht="45" customHeight="1" x14ac:dyDescent="0.3">
      <c r="A27" s="12">
        <v>10</v>
      </c>
      <c r="B27" s="12" t="s">
        <v>31</v>
      </c>
      <c r="C27" s="38" t="s">
        <v>41</v>
      </c>
      <c r="D27" s="13"/>
      <c r="E27" s="13"/>
    </row>
    <row r="28" spans="1:5" ht="6" customHeight="1" x14ac:dyDescent="0.3">
      <c r="A28" s="13"/>
      <c r="B28" s="13"/>
      <c r="C28" s="13"/>
      <c r="D28" s="13"/>
      <c r="E28" s="13"/>
    </row>
    <row r="29" spans="1:5" ht="45" customHeight="1" x14ac:dyDescent="0.3">
      <c r="A29" s="12">
        <v>11</v>
      </c>
      <c r="B29" s="12" t="s">
        <v>42</v>
      </c>
      <c r="C29" s="38" t="s">
        <v>43</v>
      </c>
      <c r="D29" s="13"/>
      <c r="E29" s="13"/>
    </row>
    <row r="30" spans="1:5" ht="6" customHeight="1" x14ac:dyDescent="0.3">
      <c r="A30" s="13"/>
      <c r="B30" s="13"/>
      <c r="C30" s="13"/>
      <c r="D30" s="13"/>
      <c r="E30" s="13"/>
    </row>
    <row r="31" spans="1:5" ht="45" customHeight="1" x14ac:dyDescent="0.3">
      <c r="A31" s="12">
        <v>12</v>
      </c>
      <c r="B31" s="12" t="s">
        <v>42</v>
      </c>
      <c r="C31" s="38" t="s">
        <v>44</v>
      </c>
      <c r="D31" s="13"/>
      <c r="E31" s="13"/>
    </row>
    <row r="32" spans="1:5" ht="6" customHeight="1" x14ac:dyDescent="0.3">
      <c r="A32" s="13"/>
      <c r="B32" s="13"/>
      <c r="C32" s="13"/>
      <c r="D32" s="13"/>
      <c r="E32" s="13"/>
    </row>
    <row r="33" spans="1:5" ht="45" customHeight="1" x14ac:dyDescent="0.3">
      <c r="A33" s="12">
        <v>13</v>
      </c>
      <c r="B33" s="12" t="s">
        <v>42</v>
      </c>
      <c r="C33" s="38" t="s">
        <v>45</v>
      </c>
      <c r="D33" s="13"/>
      <c r="E33" s="13"/>
    </row>
    <row r="34" spans="1:5" ht="6" customHeight="1" x14ac:dyDescent="0.3">
      <c r="A34" s="13"/>
      <c r="B34" s="13"/>
      <c r="C34" s="13"/>
      <c r="D34" s="13"/>
      <c r="E34" s="13"/>
    </row>
    <row r="35" spans="1:5" ht="45" customHeight="1" x14ac:dyDescent="0.3">
      <c r="A35" s="12">
        <v>14</v>
      </c>
      <c r="B35" s="12" t="s">
        <v>42</v>
      </c>
      <c r="C35" s="38" t="s">
        <v>46</v>
      </c>
      <c r="D35" s="13"/>
      <c r="E35" s="13"/>
    </row>
    <row r="36" spans="1:5" ht="6" customHeight="1" x14ac:dyDescent="0.3">
      <c r="A36" s="13"/>
      <c r="B36" s="13"/>
      <c r="C36" s="13"/>
      <c r="D36" s="13"/>
      <c r="E36" s="13"/>
    </row>
    <row r="37" spans="1:5" ht="45" customHeight="1" x14ac:dyDescent="0.3">
      <c r="A37" s="12">
        <v>15</v>
      </c>
      <c r="B37" s="12" t="s">
        <v>42</v>
      </c>
      <c r="C37" s="38" t="s">
        <v>47</v>
      </c>
      <c r="D37" s="13"/>
      <c r="E37" s="13"/>
    </row>
    <row r="38" spans="1:5" ht="6" customHeight="1" x14ac:dyDescent="0.3">
      <c r="A38" s="13"/>
      <c r="B38" s="13"/>
      <c r="C38" s="13"/>
      <c r="D38" s="13"/>
      <c r="E38" s="13"/>
    </row>
    <row r="39" spans="1:5" ht="45" customHeight="1" x14ac:dyDescent="0.3">
      <c r="A39" s="12">
        <v>16</v>
      </c>
      <c r="B39" s="12" t="s">
        <v>42</v>
      </c>
      <c r="C39" s="38" t="s">
        <v>48</v>
      </c>
      <c r="D39" s="14" t="s">
        <v>49</v>
      </c>
      <c r="E39" s="15" t="s">
        <v>50</v>
      </c>
    </row>
    <row r="40" spans="1:5" ht="6" customHeight="1" x14ac:dyDescent="0.3">
      <c r="A40" s="13"/>
      <c r="B40" s="13"/>
      <c r="C40" s="13"/>
      <c r="D40" s="13"/>
      <c r="E40" s="13"/>
    </row>
    <row r="41" spans="1:5" ht="45" customHeight="1" x14ac:dyDescent="0.3">
      <c r="A41" s="12">
        <v>17</v>
      </c>
      <c r="B41" s="12" t="s">
        <v>42</v>
      </c>
      <c r="C41" s="38" t="s">
        <v>51</v>
      </c>
      <c r="D41" s="13"/>
      <c r="E41" s="13"/>
    </row>
    <row r="42" spans="1:5" ht="6" customHeight="1" x14ac:dyDescent="0.3">
      <c r="A42" s="13"/>
      <c r="B42" s="13"/>
      <c r="C42" s="13"/>
      <c r="D42" s="13"/>
      <c r="E42" s="13"/>
    </row>
    <row r="43" spans="1:5" ht="45" customHeight="1" x14ac:dyDescent="0.3">
      <c r="A43" s="12">
        <v>18</v>
      </c>
      <c r="B43" s="12" t="s">
        <v>42</v>
      </c>
      <c r="C43" s="38" t="s">
        <v>52</v>
      </c>
      <c r="D43" s="13"/>
      <c r="E43" s="13"/>
    </row>
    <row r="44" spans="1:5" ht="6" customHeight="1" x14ac:dyDescent="0.3">
      <c r="A44" s="13"/>
      <c r="B44" s="13"/>
      <c r="C44" s="13"/>
      <c r="D44" s="13"/>
      <c r="E44" s="13"/>
    </row>
    <row r="45" spans="1:5" ht="45" customHeight="1" x14ac:dyDescent="0.3">
      <c r="A45" s="12">
        <v>19</v>
      </c>
      <c r="B45" s="12" t="s">
        <v>42</v>
      </c>
      <c r="C45" s="38" t="s">
        <v>53</v>
      </c>
      <c r="D45" s="13"/>
      <c r="E45" s="13"/>
    </row>
    <row r="46" spans="1:5" ht="6" customHeight="1" x14ac:dyDescent="0.3">
      <c r="A46" s="13"/>
      <c r="B46" s="13"/>
      <c r="C46" s="13"/>
      <c r="D46" s="13"/>
      <c r="E46" s="13"/>
    </row>
    <row r="47" spans="1:5" ht="45" customHeight="1" x14ac:dyDescent="0.3">
      <c r="A47" s="12">
        <v>20</v>
      </c>
      <c r="B47" s="12" t="s">
        <v>49</v>
      </c>
      <c r="C47" s="38" t="s">
        <v>54</v>
      </c>
      <c r="D47" s="13"/>
      <c r="E47" s="13"/>
    </row>
    <row r="48" spans="1:5" ht="6" customHeight="1" x14ac:dyDescent="0.3">
      <c r="A48" s="13"/>
      <c r="B48" s="13"/>
      <c r="C48" s="13"/>
      <c r="D48" s="13"/>
      <c r="E48" s="13"/>
    </row>
    <row r="49" spans="1:5" ht="45" customHeight="1" x14ac:dyDescent="0.3">
      <c r="A49" s="12">
        <v>21</v>
      </c>
      <c r="B49" s="12" t="s">
        <v>49</v>
      </c>
      <c r="C49" s="38" t="s">
        <v>55</v>
      </c>
      <c r="D49" s="13"/>
      <c r="E49" s="13"/>
    </row>
    <row r="50" spans="1:5" ht="6" customHeight="1" x14ac:dyDescent="0.3">
      <c r="A50" s="13"/>
      <c r="B50" s="13"/>
      <c r="C50" s="13"/>
      <c r="D50" s="13"/>
      <c r="E50" s="13"/>
    </row>
    <row r="51" spans="1:5" ht="45" customHeight="1" x14ac:dyDescent="0.3">
      <c r="A51" s="12">
        <v>22</v>
      </c>
      <c r="B51" s="12" t="s">
        <v>49</v>
      </c>
      <c r="C51" s="38" t="s">
        <v>56</v>
      </c>
      <c r="D51" s="14" t="s">
        <v>49</v>
      </c>
      <c r="E51" s="15" t="s">
        <v>57</v>
      </c>
    </row>
    <row r="52" spans="1:5" ht="6" customHeight="1" x14ac:dyDescent="0.3">
      <c r="A52" s="13"/>
      <c r="B52" s="13"/>
      <c r="C52" s="13"/>
      <c r="D52" s="13"/>
      <c r="E52" s="13"/>
    </row>
    <row r="53" spans="1:5" ht="45" customHeight="1" x14ac:dyDescent="0.3">
      <c r="A53" s="12">
        <v>23</v>
      </c>
      <c r="B53" s="12" t="s">
        <v>49</v>
      </c>
      <c r="C53" s="38" t="s">
        <v>58</v>
      </c>
      <c r="D53" s="13"/>
      <c r="E53" s="13"/>
    </row>
    <row r="54" spans="1:5" ht="6" customHeight="1" x14ac:dyDescent="0.3">
      <c r="A54" s="13"/>
      <c r="B54" s="13"/>
      <c r="C54" s="13"/>
      <c r="D54" s="13"/>
      <c r="E54" s="13"/>
    </row>
    <row r="55" spans="1:5" ht="45" customHeight="1" x14ac:dyDescent="0.3">
      <c r="A55" s="12">
        <v>24</v>
      </c>
      <c r="B55" s="12" t="s">
        <v>49</v>
      </c>
      <c r="C55" s="38" t="s">
        <v>59</v>
      </c>
      <c r="D55" s="13"/>
      <c r="E55" s="13"/>
    </row>
    <row r="56" spans="1:5" ht="6" customHeight="1" x14ac:dyDescent="0.3">
      <c r="A56" s="13"/>
      <c r="B56" s="13"/>
      <c r="C56" s="13"/>
      <c r="D56" s="13"/>
      <c r="E56" s="13"/>
    </row>
    <row r="57" spans="1:5" ht="45" customHeight="1" x14ac:dyDescent="0.3">
      <c r="A57" s="12">
        <v>25</v>
      </c>
      <c r="B57" s="12" t="s">
        <v>49</v>
      </c>
      <c r="C57" s="38" t="s">
        <v>60</v>
      </c>
      <c r="D57" s="13"/>
      <c r="E57" s="13"/>
    </row>
    <row r="58" spans="1:5" ht="6" customHeight="1" x14ac:dyDescent="0.3">
      <c r="A58" s="13"/>
      <c r="B58" s="13"/>
      <c r="C58" s="13"/>
      <c r="D58" s="13"/>
      <c r="E58" s="13"/>
    </row>
    <row r="59" spans="1:5" ht="45" customHeight="1" x14ac:dyDescent="0.3">
      <c r="A59" s="12">
        <v>26</v>
      </c>
      <c r="B59" s="12" t="s">
        <v>49</v>
      </c>
      <c r="C59" s="38" t="s">
        <v>61</v>
      </c>
      <c r="D59" s="13"/>
      <c r="E59" s="13"/>
    </row>
    <row r="60" spans="1:5" ht="6" customHeight="1" x14ac:dyDescent="0.3">
      <c r="A60" s="13"/>
      <c r="B60" s="13"/>
      <c r="C60" s="13"/>
      <c r="D60" s="13"/>
      <c r="E60" s="13"/>
    </row>
    <row r="61" spans="1:5" ht="45" customHeight="1" x14ac:dyDescent="0.3">
      <c r="A61" s="12">
        <v>27</v>
      </c>
      <c r="B61" s="12" t="s">
        <v>49</v>
      </c>
      <c r="C61" s="38" t="s">
        <v>62</v>
      </c>
      <c r="D61" s="13"/>
      <c r="E61" s="13"/>
    </row>
    <row r="62" spans="1:5" ht="6" customHeight="1" x14ac:dyDescent="0.3">
      <c r="A62" s="13"/>
      <c r="B62" s="13"/>
      <c r="C62" s="13"/>
      <c r="D62" s="13"/>
      <c r="E62" s="13"/>
    </row>
    <row r="63" spans="1:5" ht="45" customHeight="1" x14ac:dyDescent="0.3">
      <c r="A63" s="12">
        <v>28</v>
      </c>
      <c r="B63" s="12" t="s">
        <v>31</v>
      </c>
      <c r="C63" s="38" t="s">
        <v>63</v>
      </c>
      <c r="D63" s="13"/>
      <c r="E63" s="13"/>
    </row>
    <row r="64" spans="1:5" ht="6" customHeight="1" x14ac:dyDescent="0.3">
      <c r="A64" s="13"/>
      <c r="B64" s="13"/>
      <c r="C64" s="13"/>
      <c r="D64" s="13"/>
      <c r="E64" s="13"/>
    </row>
    <row r="65" spans="1:5" ht="45" customHeight="1" x14ac:dyDescent="0.3">
      <c r="A65" s="12">
        <v>29</v>
      </c>
      <c r="B65" s="12" t="s">
        <v>31</v>
      </c>
      <c r="C65" s="38" t="s">
        <v>64</v>
      </c>
      <c r="D65" s="13"/>
      <c r="E65" s="13"/>
    </row>
    <row r="66" spans="1:5" ht="6" customHeight="1" x14ac:dyDescent="0.3">
      <c r="A66" s="13"/>
      <c r="B66" s="13"/>
      <c r="C66" s="13"/>
      <c r="D66" s="13"/>
      <c r="E66" s="13"/>
    </row>
    <row r="67" spans="1:5" ht="45" customHeight="1" x14ac:dyDescent="0.3">
      <c r="A67" s="12">
        <v>30</v>
      </c>
      <c r="B67" s="12" t="s">
        <v>49</v>
      </c>
      <c r="C67" s="38" t="s">
        <v>65</v>
      </c>
      <c r="D67" s="13"/>
      <c r="E67" s="13"/>
    </row>
    <row r="68" spans="1:5" ht="6" customHeight="1" x14ac:dyDescent="0.3">
      <c r="A68" s="13"/>
      <c r="B68" s="13"/>
      <c r="C68" s="13"/>
      <c r="D68" s="13"/>
      <c r="E68" s="13"/>
    </row>
  </sheetData>
  <mergeCells count="34">
    <mergeCell ref="B4:E4"/>
    <mergeCell ref="C1:D1"/>
    <mergeCell ref="C15"/>
    <mergeCell ref="C33"/>
    <mergeCell ref="C45"/>
    <mergeCell ref="C35"/>
    <mergeCell ref="C29"/>
    <mergeCell ref="C25"/>
    <mergeCell ref="C41"/>
    <mergeCell ref="C9"/>
    <mergeCell ref="C31"/>
    <mergeCell ref="C43"/>
    <mergeCell ref="C21"/>
    <mergeCell ref="C11"/>
    <mergeCell ref="C27"/>
    <mergeCell ref="B6:E6"/>
    <mergeCell ref="C67"/>
    <mergeCell ref="C13"/>
    <mergeCell ref="C57"/>
    <mergeCell ref="C19"/>
    <mergeCell ref="C37"/>
    <mergeCell ref="C53"/>
    <mergeCell ref="C49"/>
    <mergeCell ref="C63"/>
    <mergeCell ref="C47"/>
    <mergeCell ref="C65"/>
    <mergeCell ref="C55"/>
    <mergeCell ref="C59"/>
    <mergeCell ref="C51"/>
    <mergeCell ref="C23"/>
    <mergeCell ref="C61"/>
    <mergeCell ref="C39"/>
    <mergeCell ref="B7:C7"/>
    <mergeCell ref="C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5"/>
  <sheetViews>
    <sheetView topLeftCell="A4" workbookViewId="0">
      <selection sqref="A1:F1"/>
    </sheetView>
  </sheetViews>
  <sheetFormatPr defaultRowHeight="14.4" x14ac:dyDescent="0.3"/>
  <cols>
    <col min="1" max="1" width="8" customWidth="1"/>
    <col min="2" max="2" width="60" customWidth="1"/>
    <col min="3" max="3" width="12" customWidth="1"/>
    <col min="4" max="4" width="10" customWidth="1"/>
    <col min="5" max="5" width="12" customWidth="1"/>
    <col min="6" max="6" width="15" customWidth="1"/>
  </cols>
  <sheetData>
    <row r="1" spans="1:6" ht="45" customHeight="1" x14ac:dyDescent="0.35">
      <c r="A1" s="48" t="s">
        <v>0</v>
      </c>
      <c r="B1" s="45"/>
      <c r="C1" s="45"/>
      <c r="D1" s="45"/>
      <c r="E1" s="45"/>
      <c r="F1" s="46"/>
    </row>
    <row r="2" spans="1:6" ht="45" customHeight="1" x14ac:dyDescent="0.3">
      <c r="A2" s="44" t="s">
        <v>66</v>
      </c>
      <c r="B2" s="45"/>
      <c r="C2" s="45"/>
      <c r="D2" s="45"/>
      <c r="E2" s="45"/>
      <c r="F2" s="46"/>
    </row>
    <row r="3" spans="1:6" ht="45" customHeight="1" x14ac:dyDescent="0.3">
      <c r="A3" s="44" t="s">
        <v>67</v>
      </c>
      <c r="B3" s="45"/>
      <c r="C3" s="45"/>
      <c r="D3" s="45"/>
      <c r="E3" s="45"/>
      <c r="F3" s="46"/>
    </row>
    <row r="5" spans="1:6" ht="45" customHeight="1" x14ac:dyDescent="0.3">
      <c r="A5" s="50" t="s">
        <v>68</v>
      </c>
      <c r="B5" s="45"/>
      <c r="C5" s="45"/>
      <c r="D5" s="45"/>
      <c r="E5" s="45"/>
      <c r="F5" s="46"/>
    </row>
    <row r="7" spans="1:6" ht="45" customHeight="1" x14ac:dyDescent="0.3">
      <c r="A7" s="16" t="s">
        <v>24</v>
      </c>
      <c r="B7" s="17" t="s">
        <v>69</v>
      </c>
      <c r="C7" s="16" t="s">
        <v>70</v>
      </c>
      <c r="D7" s="16" t="s">
        <v>71</v>
      </c>
      <c r="E7" s="16" t="s">
        <v>72</v>
      </c>
      <c r="F7" s="16" t="s">
        <v>73</v>
      </c>
    </row>
    <row r="8" spans="1:6" x14ac:dyDescent="0.3">
      <c r="A8" s="18"/>
      <c r="B8" s="19"/>
      <c r="C8" s="20"/>
      <c r="D8" s="18"/>
      <c r="E8" s="21"/>
      <c r="F8" s="21"/>
    </row>
    <row r="9" spans="1:6" ht="45" customHeight="1" x14ac:dyDescent="0.3">
      <c r="A9" s="22" t="s">
        <v>74</v>
      </c>
      <c r="B9" s="19" t="s">
        <v>75</v>
      </c>
      <c r="C9" s="20"/>
      <c r="D9" s="18"/>
      <c r="E9" s="21"/>
      <c r="F9" s="21"/>
    </row>
    <row r="10" spans="1:6" x14ac:dyDescent="0.3">
      <c r="A10" s="18"/>
      <c r="B10" s="19"/>
      <c r="C10" s="20"/>
      <c r="D10" s="18"/>
      <c r="E10" s="21"/>
      <c r="F10" s="21"/>
    </row>
    <row r="11" spans="1:6" ht="45" customHeight="1" x14ac:dyDescent="0.3">
      <c r="A11" s="23" t="s">
        <v>76</v>
      </c>
      <c r="B11" s="19" t="s">
        <v>77</v>
      </c>
      <c r="C11" s="20" t="s">
        <v>78</v>
      </c>
      <c r="D11" s="18" t="s">
        <v>79</v>
      </c>
      <c r="E11" s="21"/>
      <c r="F11" s="21">
        <f>C11*E11</f>
        <v>0</v>
      </c>
    </row>
    <row r="12" spans="1:6" x14ac:dyDescent="0.3">
      <c r="A12" s="18"/>
      <c r="B12" s="19"/>
      <c r="C12" s="20"/>
      <c r="D12" s="18"/>
      <c r="E12" s="21"/>
      <c r="F12" s="21"/>
    </row>
    <row r="13" spans="1:6" ht="45" customHeight="1" x14ac:dyDescent="0.3">
      <c r="A13" s="23" t="s">
        <v>80</v>
      </c>
      <c r="B13" s="19" t="s">
        <v>81</v>
      </c>
      <c r="C13" s="20" t="s">
        <v>82</v>
      </c>
      <c r="D13" s="18" t="s">
        <v>79</v>
      </c>
      <c r="E13" s="21"/>
      <c r="F13" s="21">
        <f>C13*E13</f>
        <v>0</v>
      </c>
    </row>
    <row r="14" spans="1:6" x14ac:dyDescent="0.3">
      <c r="A14" s="18"/>
      <c r="B14" s="19"/>
      <c r="C14" s="20"/>
      <c r="D14" s="18"/>
      <c r="E14" s="21"/>
      <c r="F14" s="21"/>
    </row>
    <row r="15" spans="1:6" ht="45" customHeight="1" x14ac:dyDescent="0.3">
      <c r="A15" s="23" t="s">
        <v>83</v>
      </c>
      <c r="B15" s="19" t="s">
        <v>84</v>
      </c>
      <c r="C15" s="20" t="s">
        <v>85</v>
      </c>
      <c r="D15" s="18" t="s">
        <v>79</v>
      </c>
      <c r="E15" s="21"/>
      <c r="F15" s="21">
        <f>C15*E15</f>
        <v>0</v>
      </c>
    </row>
    <row r="16" spans="1:6" x14ac:dyDescent="0.3">
      <c r="A16" s="18"/>
      <c r="B16" s="19"/>
      <c r="C16" s="20"/>
      <c r="D16" s="18"/>
      <c r="E16" s="21"/>
      <c r="F16" s="21"/>
    </row>
    <row r="17" spans="1:6" ht="45" customHeight="1" x14ac:dyDescent="0.3">
      <c r="A17" s="23" t="s">
        <v>86</v>
      </c>
      <c r="B17" s="19" t="s">
        <v>87</v>
      </c>
      <c r="C17" s="20" t="s">
        <v>88</v>
      </c>
      <c r="D17" s="18" t="s">
        <v>79</v>
      </c>
      <c r="E17" s="21"/>
      <c r="F17" s="21">
        <f>C17*E17</f>
        <v>0</v>
      </c>
    </row>
    <row r="18" spans="1:6" x14ac:dyDescent="0.3">
      <c r="A18" s="18"/>
      <c r="B18" s="19"/>
      <c r="C18" s="20"/>
      <c r="D18" s="18"/>
      <c r="E18" s="21"/>
      <c r="F18" s="21"/>
    </row>
    <row r="19" spans="1:6" ht="45" customHeight="1" x14ac:dyDescent="0.3">
      <c r="A19" s="23" t="s">
        <v>89</v>
      </c>
      <c r="B19" s="19" t="s">
        <v>90</v>
      </c>
      <c r="C19" s="20" t="s">
        <v>91</v>
      </c>
      <c r="D19" s="18" t="s">
        <v>92</v>
      </c>
      <c r="E19" s="21"/>
      <c r="F19" s="21">
        <f>C19*E19</f>
        <v>0</v>
      </c>
    </row>
    <row r="20" spans="1:6" x14ac:dyDescent="0.3">
      <c r="A20" s="24"/>
      <c r="B20" s="24"/>
      <c r="C20" s="24"/>
      <c r="D20" s="24"/>
      <c r="E20" s="24"/>
      <c r="F20" s="24"/>
    </row>
    <row r="21" spans="1:6" ht="45" customHeight="1" x14ac:dyDescent="0.3">
      <c r="A21" s="23" t="s">
        <v>93</v>
      </c>
      <c r="B21" s="19" t="s">
        <v>94</v>
      </c>
      <c r="C21" s="21" t="s">
        <v>95</v>
      </c>
      <c r="D21" s="18" t="s">
        <v>79</v>
      </c>
      <c r="E21" s="21"/>
      <c r="F21" s="21">
        <f>C21*E21</f>
        <v>0</v>
      </c>
    </row>
    <row r="22" spans="1:6" x14ac:dyDescent="0.3">
      <c r="A22" s="18"/>
      <c r="B22" s="19"/>
      <c r="C22" s="20"/>
      <c r="D22" s="18"/>
      <c r="E22" s="21"/>
      <c r="F22" s="21"/>
    </row>
    <row r="23" spans="1:6" ht="45" customHeight="1" x14ac:dyDescent="0.3">
      <c r="A23" s="25"/>
      <c r="B23" s="26" t="s">
        <v>96</v>
      </c>
      <c r="C23" s="27">
        <f>SUM(C11,C13,C15,C17,C19,C21)</f>
        <v>0</v>
      </c>
      <c r="D23" s="25" t="s">
        <v>79</v>
      </c>
      <c r="E23" s="27"/>
      <c r="F23" s="27">
        <f>SUM(F11,F13,F15,F17,F19,F21)</f>
        <v>0</v>
      </c>
    </row>
    <row r="24" spans="1:6" x14ac:dyDescent="0.3">
      <c r="A24" s="18"/>
      <c r="B24" s="19"/>
      <c r="C24" s="20"/>
      <c r="D24" s="18"/>
      <c r="E24" s="21"/>
      <c r="F24" s="21"/>
    </row>
    <row r="25" spans="1:6" ht="45" customHeight="1" x14ac:dyDescent="0.3">
      <c r="A25" s="22" t="s">
        <v>97</v>
      </c>
      <c r="B25" s="19" t="s">
        <v>98</v>
      </c>
      <c r="C25" s="20"/>
      <c r="D25" s="18"/>
      <c r="E25" s="21"/>
      <c r="F25" s="21"/>
    </row>
    <row r="26" spans="1:6" x14ac:dyDescent="0.3">
      <c r="A26" s="18"/>
      <c r="B26" s="19"/>
      <c r="C26" s="20"/>
      <c r="D26" s="18"/>
      <c r="E26" s="21"/>
      <c r="F26" s="21"/>
    </row>
    <row r="27" spans="1:6" ht="45" customHeight="1" x14ac:dyDescent="0.3">
      <c r="A27" s="23" t="s">
        <v>99</v>
      </c>
      <c r="B27" s="19" t="s">
        <v>100</v>
      </c>
      <c r="C27" s="20" t="s">
        <v>101</v>
      </c>
      <c r="D27" s="18" t="s">
        <v>102</v>
      </c>
      <c r="E27" s="24"/>
      <c r="F27" s="21">
        <f>C27*E27</f>
        <v>0</v>
      </c>
    </row>
    <row r="28" spans="1:6" x14ac:dyDescent="0.3">
      <c r="A28" s="24"/>
      <c r="B28" s="24"/>
      <c r="C28" s="24"/>
      <c r="D28" s="24"/>
      <c r="E28" s="24"/>
      <c r="F28" s="24"/>
    </row>
    <row r="29" spans="1:6" ht="45" customHeight="1" x14ac:dyDescent="0.3">
      <c r="A29" s="23" t="s">
        <v>103</v>
      </c>
      <c r="B29" s="19" t="s">
        <v>104</v>
      </c>
      <c r="C29" s="21" t="s">
        <v>105</v>
      </c>
      <c r="D29" s="18" t="s">
        <v>106</v>
      </c>
      <c r="E29" s="24"/>
      <c r="F29" s="21">
        <f>C29*E29</f>
        <v>0</v>
      </c>
    </row>
    <row r="30" spans="1:6" x14ac:dyDescent="0.3">
      <c r="A30" s="24"/>
      <c r="B30" s="24"/>
      <c r="C30" s="24"/>
      <c r="D30" s="24"/>
      <c r="E30" s="24"/>
      <c r="F30" s="24"/>
    </row>
    <row r="31" spans="1:6" ht="45" customHeight="1" x14ac:dyDescent="0.3">
      <c r="A31" s="23" t="s">
        <v>107</v>
      </c>
      <c r="B31" s="19" t="s">
        <v>108</v>
      </c>
      <c r="C31" s="20" t="s">
        <v>109</v>
      </c>
      <c r="D31" s="18" t="s">
        <v>102</v>
      </c>
      <c r="E31" s="24"/>
      <c r="F31" s="21">
        <f>C31*E31</f>
        <v>0</v>
      </c>
    </row>
    <row r="32" spans="1:6" x14ac:dyDescent="0.3">
      <c r="A32" s="24"/>
      <c r="B32" s="24"/>
      <c r="C32" s="24"/>
      <c r="D32" s="24"/>
      <c r="E32" s="24"/>
      <c r="F32" s="24"/>
    </row>
    <row r="33" spans="1:6" ht="45" customHeight="1" x14ac:dyDescent="0.3">
      <c r="A33" s="23" t="s">
        <v>107</v>
      </c>
      <c r="B33" s="19" t="s">
        <v>110</v>
      </c>
      <c r="C33" s="20" t="s">
        <v>109</v>
      </c>
      <c r="D33" s="18" t="s">
        <v>102</v>
      </c>
      <c r="E33" s="24"/>
      <c r="F33" s="21">
        <f>C35*E35</f>
        <v>0</v>
      </c>
    </row>
    <row r="34" spans="1:6" x14ac:dyDescent="0.3">
      <c r="A34" s="24"/>
      <c r="B34" s="24"/>
      <c r="C34" s="24"/>
      <c r="D34" s="24"/>
      <c r="E34" s="24"/>
      <c r="F34" s="24"/>
    </row>
    <row r="35" spans="1:6" ht="45" customHeight="1" x14ac:dyDescent="0.3">
      <c r="A35" s="23" t="s">
        <v>111</v>
      </c>
      <c r="B35" s="19" t="s">
        <v>112</v>
      </c>
      <c r="C35" s="20" t="s">
        <v>113</v>
      </c>
      <c r="D35" s="18" t="s">
        <v>102</v>
      </c>
      <c r="E35" s="24"/>
      <c r="F35" s="21">
        <f>C37*E37</f>
        <v>0</v>
      </c>
    </row>
    <row r="36" spans="1:6" x14ac:dyDescent="0.3">
      <c r="A36" s="24"/>
      <c r="B36" s="24"/>
      <c r="C36" s="24"/>
      <c r="D36" s="24"/>
      <c r="E36" s="24"/>
      <c r="F36" s="24"/>
    </row>
    <row r="37" spans="1:6" ht="45" customHeight="1" x14ac:dyDescent="0.3">
      <c r="A37" s="23" t="s">
        <v>114</v>
      </c>
      <c r="B37" s="19" t="s">
        <v>115</v>
      </c>
      <c r="C37" s="21" t="s">
        <v>116</v>
      </c>
      <c r="D37" s="18" t="s">
        <v>106</v>
      </c>
      <c r="E37" s="24"/>
      <c r="F37" s="21">
        <f>C39*E39</f>
        <v>0</v>
      </c>
    </row>
    <row r="38" spans="1:6" x14ac:dyDescent="0.3">
      <c r="A38" s="25"/>
      <c r="B38" s="26" t="s">
        <v>117</v>
      </c>
      <c r="C38" s="27">
        <f>C25+C27</f>
        <v>6</v>
      </c>
      <c r="D38" s="25" t="s">
        <v>102</v>
      </c>
      <c r="E38" s="27"/>
      <c r="F38" s="27" t="str">
        <f ca="1">SUM(F27:F39)</f>
        <v/>
      </c>
    </row>
    <row r="39" spans="1:6" ht="45" customHeight="1" x14ac:dyDescent="0.3">
      <c r="A39" s="18"/>
      <c r="B39" s="19"/>
      <c r="C39" s="20"/>
      <c r="D39" s="18"/>
      <c r="E39" s="21"/>
      <c r="F39" s="21"/>
    </row>
    <row r="40" spans="1:6" x14ac:dyDescent="0.3">
      <c r="A40" s="22" t="s">
        <v>118</v>
      </c>
      <c r="B40" s="19" t="s">
        <v>119</v>
      </c>
      <c r="C40" s="20"/>
      <c r="D40" s="18"/>
      <c r="E40" s="21"/>
      <c r="F40" s="21"/>
    </row>
    <row r="41" spans="1:6" ht="45" customHeight="1" x14ac:dyDescent="0.3">
      <c r="A41" s="18"/>
      <c r="B41" s="19"/>
      <c r="C41" s="20"/>
      <c r="D41" s="18"/>
      <c r="E41" s="21"/>
      <c r="F41" s="21"/>
    </row>
    <row r="42" spans="1:6" ht="28.8" x14ac:dyDescent="0.3">
      <c r="A42" s="23" t="s">
        <v>120</v>
      </c>
      <c r="B42" s="19" t="s">
        <v>121</v>
      </c>
      <c r="C42" s="20" t="s">
        <v>122</v>
      </c>
      <c r="D42" s="18" t="s">
        <v>106</v>
      </c>
      <c r="E42" s="21"/>
      <c r="F42" s="21">
        <f>C33*E33</f>
        <v>0</v>
      </c>
    </row>
    <row r="43" spans="1:6" ht="45" customHeight="1" x14ac:dyDescent="0.3">
      <c r="A43" s="18"/>
      <c r="B43" s="19"/>
      <c r="C43" s="20"/>
      <c r="D43" s="18"/>
      <c r="E43" s="21"/>
      <c r="F43" s="21"/>
    </row>
    <row r="44" spans="1:6" ht="28.8" x14ac:dyDescent="0.3">
      <c r="A44" s="23" t="s">
        <v>123</v>
      </c>
      <c r="B44" s="19" t="s">
        <v>124</v>
      </c>
      <c r="C44" s="20" t="s">
        <v>125</v>
      </c>
      <c r="D44" s="18" t="s">
        <v>102</v>
      </c>
      <c r="E44" s="21"/>
      <c r="F44" s="21">
        <f>C35*E35</f>
        <v>0</v>
      </c>
    </row>
    <row r="45" spans="1:6" ht="45" customHeight="1" x14ac:dyDescent="0.3">
      <c r="A45" s="18"/>
      <c r="B45" s="19"/>
      <c r="C45" s="20"/>
      <c r="D45" s="18"/>
      <c r="E45" s="21"/>
      <c r="F45" s="21"/>
    </row>
    <row r="46" spans="1:6" ht="28.8" x14ac:dyDescent="0.3">
      <c r="A46" s="23" t="s">
        <v>126</v>
      </c>
      <c r="B46" s="19" t="s">
        <v>127</v>
      </c>
      <c r="C46" s="20" t="s">
        <v>125</v>
      </c>
      <c r="D46" s="18" t="s">
        <v>102</v>
      </c>
      <c r="E46" s="21"/>
      <c r="F46" s="21">
        <f>C37*E37</f>
        <v>0</v>
      </c>
    </row>
    <row r="47" spans="1:6" ht="45" customHeight="1" x14ac:dyDescent="0.3">
      <c r="A47" s="18"/>
      <c r="B47" s="19"/>
      <c r="C47" s="20"/>
      <c r="D47" s="18"/>
      <c r="E47" s="21"/>
      <c r="F47" s="21"/>
    </row>
    <row r="48" spans="1:6" ht="57.6" x14ac:dyDescent="0.3">
      <c r="A48" s="23" t="s">
        <v>128</v>
      </c>
      <c r="B48" s="19" t="s">
        <v>129</v>
      </c>
      <c r="C48" s="20" t="s">
        <v>130</v>
      </c>
      <c r="D48" s="18" t="s">
        <v>106</v>
      </c>
      <c r="E48" s="21"/>
      <c r="F48" s="21">
        <f>C39*E39</f>
        <v>0</v>
      </c>
    </row>
    <row r="49" spans="1:6" ht="45" customHeight="1" x14ac:dyDescent="0.3">
      <c r="A49" s="18"/>
      <c r="B49" s="19"/>
      <c r="C49" s="20"/>
      <c r="D49" s="18"/>
      <c r="E49" s="21"/>
      <c r="F49" s="21"/>
    </row>
    <row r="50" spans="1:6" x14ac:dyDescent="0.3">
      <c r="A50" s="25"/>
      <c r="B50" s="26" t="s">
        <v>131</v>
      </c>
      <c r="C50" s="28"/>
      <c r="D50" s="25"/>
      <c r="E50" s="27"/>
      <c r="F50" s="27">
        <f>SUM(F33,F35,F37,F39)</f>
        <v>0</v>
      </c>
    </row>
    <row r="51" spans="1:6" ht="45" customHeight="1" x14ac:dyDescent="0.3">
      <c r="A51" s="18"/>
      <c r="B51" s="19"/>
      <c r="C51" s="20"/>
      <c r="D51" s="18"/>
      <c r="E51" s="21"/>
      <c r="F51" s="21"/>
    </row>
    <row r="52" spans="1:6" x14ac:dyDescent="0.3">
      <c r="A52" s="22" t="s">
        <v>132</v>
      </c>
      <c r="B52" s="19" t="s">
        <v>133</v>
      </c>
      <c r="C52" s="20"/>
      <c r="D52" s="18"/>
      <c r="E52" s="21"/>
      <c r="F52" s="21"/>
    </row>
    <row r="53" spans="1:6" ht="45" customHeight="1" x14ac:dyDescent="0.3">
      <c r="A53" s="18"/>
      <c r="B53" s="19"/>
      <c r="C53" s="20"/>
      <c r="D53" s="18"/>
      <c r="E53" s="21"/>
      <c r="F53" s="21"/>
    </row>
    <row r="54" spans="1:6" ht="28.8" x14ac:dyDescent="0.3">
      <c r="A54" s="23" t="s">
        <v>134</v>
      </c>
      <c r="B54" s="19" t="s">
        <v>135</v>
      </c>
      <c r="C54" s="20" t="s">
        <v>136</v>
      </c>
      <c r="D54" s="18" t="s">
        <v>102</v>
      </c>
      <c r="E54" s="21"/>
      <c r="F54" s="21">
        <f>C45*E45</f>
        <v>0</v>
      </c>
    </row>
    <row r="55" spans="1:6" ht="45" customHeight="1" x14ac:dyDescent="0.3">
      <c r="A55" s="18"/>
      <c r="B55" s="19"/>
      <c r="C55" s="20"/>
      <c r="D55" s="18"/>
      <c r="E55" s="21"/>
      <c r="F55" s="21"/>
    </row>
    <row r="56" spans="1:6" ht="28.8" x14ac:dyDescent="0.3">
      <c r="A56" s="23" t="s">
        <v>137</v>
      </c>
      <c r="B56" s="19" t="s">
        <v>138</v>
      </c>
      <c r="C56" s="20" t="s">
        <v>139</v>
      </c>
      <c r="D56" s="18" t="s">
        <v>102</v>
      </c>
      <c r="E56" s="21"/>
      <c r="F56" s="21">
        <f>C47*E47</f>
        <v>0</v>
      </c>
    </row>
    <row r="57" spans="1:6" ht="45" customHeight="1" x14ac:dyDescent="0.3">
      <c r="A57" s="18"/>
      <c r="B57" s="19"/>
      <c r="C57" s="20"/>
      <c r="D57" s="18"/>
      <c r="E57" s="21"/>
      <c r="F57" s="21"/>
    </row>
    <row r="58" spans="1:6" ht="28.8" x14ac:dyDescent="0.3">
      <c r="A58" s="23" t="s">
        <v>140</v>
      </c>
      <c r="B58" s="19" t="s">
        <v>141</v>
      </c>
      <c r="C58" s="20" t="s">
        <v>125</v>
      </c>
      <c r="D58" s="18" t="s">
        <v>102</v>
      </c>
      <c r="E58" s="21"/>
      <c r="F58" s="21">
        <f>C49*E49</f>
        <v>0</v>
      </c>
    </row>
    <row r="59" spans="1:6" ht="45" customHeight="1" x14ac:dyDescent="0.3">
      <c r="A59" s="18"/>
      <c r="B59" s="19"/>
      <c r="C59" s="20"/>
      <c r="D59" s="18"/>
      <c r="E59" s="21"/>
      <c r="F59" s="21"/>
    </row>
    <row r="60" spans="1:6" x14ac:dyDescent="0.3">
      <c r="A60" s="23" t="s">
        <v>142</v>
      </c>
      <c r="B60" s="19" t="s">
        <v>143</v>
      </c>
      <c r="C60" s="20" t="s">
        <v>125</v>
      </c>
      <c r="D60" s="18" t="s">
        <v>102</v>
      </c>
      <c r="E60" s="21"/>
      <c r="F60" s="21">
        <f>C51*E51</f>
        <v>0</v>
      </c>
    </row>
    <row r="61" spans="1:6" ht="45" customHeight="1" x14ac:dyDescent="0.3">
      <c r="A61" s="18"/>
      <c r="B61" s="19"/>
      <c r="C61" s="20"/>
      <c r="D61" s="18"/>
      <c r="E61" s="21"/>
      <c r="F61" s="21"/>
    </row>
    <row r="62" spans="1:6" x14ac:dyDescent="0.3">
      <c r="A62" s="25"/>
      <c r="B62" s="26" t="s">
        <v>144</v>
      </c>
      <c r="C62" s="27">
        <f>C45+C47+C49+C51</f>
        <v>0</v>
      </c>
      <c r="D62" s="25" t="s">
        <v>102</v>
      </c>
      <c r="E62" s="27"/>
      <c r="F62" s="27">
        <f>SUM(F45,F47,F49,F51)</f>
        <v>0</v>
      </c>
    </row>
    <row r="63" spans="1:6" ht="45" customHeight="1" x14ac:dyDescent="0.3">
      <c r="A63" s="18"/>
      <c r="B63" s="19"/>
      <c r="C63" s="20"/>
      <c r="D63" s="18"/>
      <c r="E63" s="21"/>
      <c r="F63" s="21"/>
    </row>
    <row r="64" spans="1:6" x14ac:dyDescent="0.3">
      <c r="A64" s="22" t="s">
        <v>145</v>
      </c>
      <c r="B64" s="19" t="s">
        <v>146</v>
      </c>
      <c r="C64" s="20"/>
      <c r="D64" s="18"/>
      <c r="E64" s="21"/>
      <c r="F64" s="21"/>
    </row>
    <row r="65" spans="1:6" ht="45" customHeight="1" x14ac:dyDescent="0.3">
      <c r="A65" s="18"/>
      <c r="B65" s="19"/>
      <c r="C65" s="20"/>
      <c r="D65" s="18"/>
      <c r="E65" s="21"/>
      <c r="F65" s="21"/>
    </row>
    <row r="66" spans="1:6" ht="28.8" x14ac:dyDescent="0.3">
      <c r="A66" s="23" t="s">
        <v>147</v>
      </c>
      <c r="B66" s="19" t="s">
        <v>148</v>
      </c>
      <c r="C66" s="20" t="s">
        <v>149</v>
      </c>
      <c r="D66" s="18" t="s">
        <v>79</v>
      </c>
      <c r="E66" s="21"/>
      <c r="F66" s="21">
        <f>C57*E57</f>
        <v>0</v>
      </c>
    </row>
    <row r="67" spans="1:6" ht="45" customHeight="1" x14ac:dyDescent="0.3">
      <c r="A67" s="18"/>
      <c r="B67" s="19"/>
      <c r="C67" s="20"/>
      <c r="D67" s="18"/>
      <c r="E67" s="21"/>
      <c r="F67" s="21"/>
    </row>
    <row r="68" spans="1:6" ht="28.8" x14ac:dyDescent="0.3">
      <c r="A68" s="23" t="s">
        <v>150</v>
      </c>
      <c r="B68" s="19" t="s">
        <v>151</v>
      </c>
      <c r="C68" s="20" t="s">
        <v>152</v>
      </c>
      <c r="D68" s="18" t="s">
        <v>79</v>
      </c>
      <c r="E68" s="21"/>
      <c r="F68" s="21">
        <f>C59*E59</f>
        <v>0</v>
      </c>
    </row>
    <row r="69" spans="1:6" ht="45" customHeight="1" x14ac:dyDescent="0.3">
      <c r="A69" s="18"/>
      <c r="B69" s="19"/>
      <c r="C69" s="20"/>
      <c r="D69" s="18"/>
      <c r="E69" s="21"/>
      <c r="F69" s="21"/>
    </row>
    <row r="70" spans="1:6" x14ac:dyDescent="0.3">
      <c r="A70" s="25"/>
      <c r="B70" s="26" t="s">
        <v>153</v>
      </c>
      <c r="C70" s="27">
        <f>C57+C59</f>
        <v>0</v>
      </c>
      <c r="D70" s="25" t="s">
        <v>79</v>
      </c>
      <c r="E70" s="27"/>
      <c r="F70" s="27">
        <f>SUM(F57,F59)</f>
        <v>0</v>
      </c>
    </row>
    <row r="71" spans="1:6" ht="45" customHeight="1" x14ac:dyDescent="0.3">
      <c r="A71" s="18"/>
      <c r="B71" s="19"/>
      <c r="C71" s="20"/>
      <c r="D71" s="18"/>
      <c r="E71" s="21"/>
      <c r="F71" s="21"/>
    </row>
    <row r="72" spans="1:6" x14ac:dyDescent="0.3">
      <c r="A72" s="22" t="s">
        <v>154</v>
      </c>
      <c r="B72" s="19" t="s">
        <v>155</v>
      </c>
      <c r="C72" s="20"/>
      <c r="D72" s="18"/>
      <c r="E72" s="21"/>
      <c r="F72" s="21"/>
    </row>
    <row r="73" spans="1:6" ht="45" customHeight="1" x14ac:dyDescent="0.3">
      <c r="A73" s="18"/>
      <c r="B73" s="19"/>
      <c r="C73" s="20"/>
      <c r="D73" s="18"/>
      <c r="E73" s="21"/>
      <c r="F73" s="21"/>
    </row>
    <row r="74" spans="1:6" ht="28.8" x14ac:dyDescent="0.3">
      <c r="A74" s="23" t="s">
        <v>156</v>
      </c>
      <c r="B74" s="19" t="s">
        <v>157</v>
      </c>
      <c r="C74" s="20" t="s">
        <v>158</v>
      </c>
      <c r="D74" s="18" t="s">
        <v>79</v>
      </c>
      <c r="E74" s="21"/>
      <c r="F74" s="21">
        <f>C65*E65</f>
        <v>0</v>
      </c>
    </row>
    <row r="75" spans="1:6" ht="45" customHeight="1" x14ac:dyDescent="0.3">
      <c r="A75" s="18"/>
      <c r="B75" s="19"/>
      <c r="C75" s="20"/>
      <c r="D75" s="18"/>
      <c r="E75" s="21"/>
      <c r="F75" s="21"/>
    </row>
    <row r="76" spans="1:6" ht="43.2" x14ac:dyDescent="0.3">
      <c r="A76" s="23" t="s">
        <v>159</v>
      </c>
      <c r="B76" s="19" t="s">
        <v>160</v>
      </c>
      <c r="C76" s="20" t="s">
        <v>113</v>
      </c>
      <c r="D76" s="18" t="s">
        <v>79</v>
      </c>
      <c r="E76" s="21"/>
      <c r="F76" s="21">
        <f>C67*E67</f>
        <v>0</v>
      </c>
    </row>
    <row r="77" spans="1:6" ht="45" customHeight="1" x14ac:dyDescent="0.3">
      <c r="A77" s="18"/>
      <c r="B77" s="19"/>
      <c r="C77" s="20"/>
      <c r="D77" s="18"/>
      <c r="E77" s="21"/>
      <c r="F77" s="21"/>
    </row>
    <row r="78" spans="1:6" ht="28.8" x14ac:dyDescent="0.3">
      <c r="A78" s="23" t="s">
        <v>161</v>
      </c>
      <c r="B78" s="19" t="s">
        <v>162</v>
      </c>
      <c r="C78" s="20" t="s">
        <v>125</v>
      </c>
      <c r="D78" s="18" t="s">
        <v>24</v>
      </c>
      <c r="E78" s="21"/>
      <c r="F78" s="21">
        <f>C69*E69</f>
        <v>0</v>
      </c>
    </row>
    <row r="79" spans="1:6" ht="45" customHeight="1" x14ac:dyDescent="0.3">
      <c r="A79" s="18"/>
      <c r="B79" s="19"/>
      <c r="C79" s="20"/>
      <c r="D79" s="18"/>
      <c r="E79" s="21"/>
      <c r="F79" s="21"/>
    </row>
    <row r="80" spans="1:6" ht="28.8" x14ac:dyDescent="0.3">
      <c r="A80" s="23" t="s">
        <v>163</v>
      </c>
      <c r="B80" s="19" t="s">
        <v>164</v>
      </c>
      <c r="C80" s="20" t="s">
        <v>125</v>
      </c>
      <c r="D80" s="18" t="s">
        <v>24</v>
      </c>
      <c r="E80" s="21"/>
      <c r="F80" s="21">
        <f>C71*E71</f>
        <v>0</v>
      </c>
    </row>
    <row r="81" spans="1:6" ht="45" customHeight="1" x14ac:dyDescent="0.3">
      <c r="A81" s="18"/>
      <c r="B81" s="19"/>
      <c r="C81" s="20"/>
      <c r="D81" s="18"/>
      <c r="E81" s="21"/>
      <c r="F81" s="21"/>
    </row>
    <row r="82" spans="1:6" x14ac:dyDescent="0.3">
      <c r="A82" s="25"/>
      <c r="B82" s="26" t="s">
        <v>165</v>
      </c>
      <c r="C82" s="28"/>
      <c r="D82" s="25"/>
      <c r="E82" s="27"/>
      <c r="F82" s="27">
        <f>SUM(F65,F67,F69,F71)</f>
        <v>0</v>
      </c>
    </row>
    <row r="83" spans="1:6" ht="45" customHeight="1" x14ac:dyDescent="0.3">
      <c r="A83" s="18"/>
      <c r="B83" s="19"/>
      <c r="C83" s="20"/>
      <c r="D83" s="18"/>
      <c r="E83" s="21"/>
      <c r="F83" s="21"/>
    </row>
    <row r="84" spans="1:6" x14ac:dyDescent="0.3">
      <c r="A84" s="22" t="s">
        <v>166</v>
      </c>
      <c r="B84" s="19" t="s">
        <v>167</v>
      </c>
      <c r="C84" s="20"/>
      <c r="D84" s="18"/>
      <c r="E84" s="21"/>
      <c r="F84" s="21"/>
    </row>
    <row r="85" spans="1:6" ht="45" customHeight="1" x14ac:dyDescent="0.3">
      <c r="A85" s="18"/>
      <c r="B85" s="19"/>
      <c r="C85" s="20"/>
      <c r="D85" s="18"/>
      <c r="E85" s="21"/>
      <c r="F85" s="21"/>
    </row>
    <row r="86" spans="1:6" ht="43.2" x14ac:dyDescent="0.3">
      <c r="A86" s="23" t="s">
        <v>168</v>
      </c>
      <c r="B86" s="19" t="s">
        <v>169</v>
      </c>
      <c r="C86" s="20" t="s">
        <v>170</v>
      </c>
      <c r="D86" s="18" t="s">
        <v>79</v>
      </c>
      <c r="E86" s="21"/>
      <c r="F86" s="21">
        <f>C77*E77</f>
        <v>0</v>
      </c>
    </row>
    <row r="87" spans="1:6" ht="45" customHeight="1" x14ac:dyDescent="0.3">
      <c r="A87" s="18"/>
      <c r="B87" s="19"/>
      <c r="C87" s="20"/>
      <c r="D87" s="18"/>
      <c r="E87" s="21"/>
      <c r="F87" s="21"/>
    </row>
    <row r="88" spans="1:6" ht="57.6" x14ac:dyDescent="0.3">
      <c r="A88" s="23" t="s">
        <v>171</v>
      </c>
      <c r="B88" s="19" t="s">
        <v>172</v>
      </c>
      <c r="C88" s="20" t="s">
        <v>173</v>
      </c>
      <c r="D88" s="18" t="s">
        <v>79</v>
      </c>
      <c r="E88" s="21"/>
      <c r="F88" s="21">
        <f>C79*E79</f>
        <v>0</v>
      </c>
    </row>
    <row r="89" spans="1:6" ht="45" customHeight="1" x14ac:dyDescent="0.3">
      <c r="A89" s="18"/>
      <c r="B89" s="19"/>
      <c r="C89" s="20"/>
      <c r="D89" s="18"/>
      <c r="E89" s="21"/>
      <c r="F89" s="21"/>
    </row>
    <row r="90" spans="1:6" ht="43.2" x14ac:dyDescent="0.3">
      <c r="A90" s="23" t="s">
        <v>174</v>
      </c>
      <c r="B90" s="19" t="s">
        <v>175</v>
      </c>
      <c r="C90" s="20" t="s">
        <v>176</v>
      </c>
      <c r="D90" s="18" t="s">
        <v>79</v>
      </c>
      <c r="E90" s="21"/>
      <c r="F90" s="21">
        <f>C81*E81</f>
        <v>0</v>
      </c>
    </row>
    <row r="91" spans="1:6" ht="45" customHeight="1" x14ac:dyDescent="0.3">
      <c r="A91" s="18"/>
      <c r="B91" s="19"/>
      <c r="C91" s="20"/>
      <c r="D91" s="18"/>
      <c r="E91" s="21"/>
      <c r="F91" s="21"/>
    </row>
    <row r="92" spans="1:6" x14ac:dyDescent="0.3">
      <c r="A92" s="25"/>
      <c r="B92" s="26" t="s">
        <v>177</v>
      </c>
      <c r="C92" s="27">
        <f>C77+C79+C81</f>
        <v>0</v>
      </c>
      <c r="D92" s="25" t="s">
        <v>79</v>
      </c>
      <c r="E92" s="27"/>
      <c r="F92" s="27">
        <f>SUM(F77,F79,F81)</f>
        <v>0</v>
      </c>
    </row>
    <row r="93" spans="1:6" ht="45" customHeight="1" x14ac:dyDescent="0.3">
      <c r="A93" s="18"/>
      <c r="B93" s="19"/>
      <c r="C93" s="20"/>
      <c r="D93" s="18"/>
      <c r="E93" s="21"/>
      <c r="F93" s="21"/>
    </row>
    <row r="94" spans="1:6" x14ac:dyDescent="0.3">
      <c r="A94" s="22" t="s">
        <v>178</v>
      </c>
      <c r="B94" s="19" t="s">
        <v>179</v>
      </c>
      <c r="C94" s="20"/>
      <c r="D94" s="18"/>
      <c r="E94" s="21"/>
      <c r="F94" s="21"/>
    </row>
    <row r="95" spans="1:6" ht="45" customHeight="1" x14ac:dyDescent="0.3">
      <c r="A95" s="18"/>
      <c r="B95" s="19"/>
      <c r="C95" s="20"/>
      <c r="D95" s="18"/>
      <c r="E95" s="21"/>
      <c r="F95" s="21"/>
    </row>
    <row r="96" spans="1:6" ht="43.2" x14ac:dyDescent="0.3">
      <c r="A96" s="23" t="s">
        <v>180</v>
      </c>
      <c r="B96" s="19" t="s">
        <v>181</v>
      </c>
      <c r="C96" s="20" t="s">
        <v>125</v>
      </c>
      <c r="D96" s="18" t="s">
        <v>24</v>
      </c>
      <c r="E96" s="21"/>
      <c r="F96" s="21">
        <f>C87*E87</f>
        <v>0</v>
      </c>
    </row>
    <row r="97" spans="1:6" x14ac:dyDescent="0.3">
      <c r="A97" s="18"/>
      <c r="B97" s="19"/>
      <c r="C97" s="20"/>
      <c r="D97" s="18"/>
      <c r="E97" s="21"/>
      <c r="F97" s="21"/>
    </row>
    <row r="98" spans="1:6" ht="45" customHeight="1" x14ac:dyDescent="0.3">
      <c r="A98" s="23" t="s">
        <v>182</v>
      </c>
      <c r="B98" s="29"/>
      <c r="C98" s="29"/>
      <c r="D98" s="29"/>
      <c r="E98" s="29"/>
      <c r="F98" s="30"/>
    </row>
    <row r="99" spans="1:6" x14ac:dyDescent="0.3">
      <c r="A99" s="18"/>
      <c r="B99" s="29"/>
      <c r="C99" s="29"/>
      <c r="D99" s="29"/>
      <c r="E99" s="29"/>
      <c r="F99" s="30"/>
    </row>
    <row r="100" spans="1:6" x14ac:dyDescent="0.3">
      <c r="A100" s="51" t="s">
        <v>183</v>
      </c>
      <c r="B100" s="45"/>
      <c r="C100" s="45"/>
      <c r="D100" s="45"/>
      <c r="E100" s="45"/>
      <c r="F100" s="46"/>
    </row>
    <row r="101" spans="1:6" ht="45" customHeight="1" x14ac:dyDescent="0.3">
      <c r="A101" s="49"/>
      <c r="B101" s="45"/>
      <c r="C101" s="45"/>
      <c r="D101" s="45"/>
      <c r="E101" s="45"/>
      <c r="F101" s="46"/>
    </row>
    <row r="102" spans="1:6" ht="45" customHeight="1" x14ac:dyDescent="0.3">
      <c r="A102" s="47"/>
      <c r="B102" s="45"/>
      <c r="C102" s="45"/>
      <c r="D102" s="45"/>
      <c r="E102" s="45"/>
      <c r="F102" s="46"/>
    </row>
    <row r="103" spans="1:6" ht="45" customHeight="1" x14ac:dyDescent="0.3">
      <c r="A103" s="49"/>
      <c r="B103" s="45"/>
      <c r="C103" s="45"/>
      <c r="D103" s="45"/>
      <c r="E103" s="45"/>
      <c r="F103" s="46"/>
    </row>
    <row r="104" spans="1:6" ht="45" customHeight="1" x14ac:dyDescent="0.3">
      <c r="A104" s="49"/>
      <c r="B104" s="45"/>
      <c r="C104" s="45"/>
      <c r="D104" s="45"/>
      <c r="E104" s="45"/>
      <c r="F104" s="46"/>
    </row>
    <row r="105" spans="1:6" ht="45" customHeight="1" x14ac:dyDescent="0.3">
      <c r="A105" s="47"/>
      <c r="B105" s="45"/>
      <c r="C105" s="45"/>
      <c r="D105" s="45"/>
      <c r="E105" s="45"/>
      <c r="F105" s="46"/>
    </row>
    <row r="106" spans="1:6" ht="45" customHeight="1" x14ac:dyDescent="0.3">
      <c r="A106" s="40"/>
      <c r="B106" s="40"/>
      <c r="C106" s="40"/>
      <c r="D106" s="40"/>
      <c r="E106" s="40"/>
      <c r="F106" s="40"/>
    </row>
    <row r="107" spans="1:6" ht="45" customHeight="1" x14ac:dyDescent="0.3"/>
    <row r="108" spans="1:6" ht="45" customHeight="1" x14ac:dyDescent="0.3">
      <c r="A108" s="11" t="s">
        <v>16</v>
      </c>
      <c r="B108" s="29"/>
      <c r="C108" s="29"/>
      <c r="D108" s="29"/>
      <c r="E108" s="29"/>
      <c r="F108" s="30"/>
    </row>
    <row r="109" spans="1:6" ht="230.4" x14ac:dyDescent="0.3">
      <c r="A109" s="19" t="s">
        <v>184</v>
      </c>
      <c r="B109" s="29"/>
      <c r="C109" s="29"/>
      <c r="D109" s="29"/>
      <c r="E109" s="29"/>
      <c r="F109" s="30"/>
    </row>
    <row r="110" spans="1:6" x14ac:dyDescent="0.3">
      <c r="A110" s="19" t="s">
        <v>185</v>
      </c>
      <c r="B110" s="29"/>
      <c r="C110" s="29"/>
      <c r="D110" s="29"/>
      <c r="E110" s="29"/>
      <c r="F110" s="30"/>
    </row>
    <row r="111" spans="1:6" ht="172.8" x14ac:dyDescent="0.3">
      <c r="A111" s="19" t="s">
        <v>186</v>
      </c>
      <c r="B111" s="29"/>
      <c r="C111" s="29"/>
      <c r="D111" s="29"/>
      <c r="E111" s="29"/>
      <c r="F111" s="30"/>
    </row>
    <row r="112" spans="1:6" ht="172.8" x14ac:dyDescent="0.3">
      <c r="A112" s="19" t="s">
        <v>187</v>
      </c>
      <c r="B112" s="29"/>
      <c r="C112" s="29"/>
      <c r="D112" s="29"/>
      <c r="E112" s="29"/>
      <c r="F112" s="30"/>
    </row>
    <row r="113" spans="1:6" ht="187.2" x14ac:dyDescent="0.3">
      <c r="A113" s="19" t="s">
        <v>188</v>
      </c>
      <c r="B113" s="29"/>
      <c r="C113" s="29"/>
      <c r="D113" s="29"/>
      <c r="E113" s="29"/>
      <c r="F113" s="30"/>
    </row>
    <row r="114" spans="1:6" ht="187.2" x14ac:dyDescent="0.3">
      <c r="A114" s="19" t="s">
        <v>189</v>
      </c>
    </row>
    <row r="115" spans="1:6" ht="158.4" x14ac:dyDescent="0.3">
      <c r="A115" s="19" t="s">
        <v>190</v>
      </c>
    </row>
  </sheetData>
  <mergeCells count="11">
    <mergeCell ref="A106:F106"/>
    <mergeCell ref="A105:F105"/>
    <mergeCell ref="A100:F100"/>
    <mergeCell ref="A101:F101"/>
    <mergeCell ref="A104:F104"/>
    <mergeCell ref="A2:F2"/>
    <mergeCell ref="A3:F3"/>
    <mergeCell ref="A102:F102"/>
    <mergeCell ref="A1:F1"/>
    <mergeCell ref="A103:F103"/>
    <mergeCell ref="A5:F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9"/>
  <sheetViews>
    <sheetView topLeftCell="A10" workbookViewId="0"/>
  </sheetViews>
  <sheetFormatPr defaultRowHeight="14.4" x14ac:dyDescent="0.3"/>
  <cols>
    <col min="1" max="1" width="8" customWidth="1"/>
    <col min="2" max="2" width="75" customWidth="1"/>
    <col min="3" max="3" width="8" customWidth="1"/>
    <col min="4" max="5" width="12" customWidth="1"/>
    <col min="6" max="6" width="14" customWidth="1"/>
  </cols>
  <sheetData>
    <row r="1" spans="1:6" x14ac:dyDescent="0.3">
      <c r="A1" s="16" t="s">
        <v>191</v>
      </c>
      <c r="B1" s="16" t="s">
        <v>192</v>
      </c>
      <c r="C1" s="16" t="s">
        <v>193</v>
      </c>
      <c r="D1" s="16" t="s">
        <v>194</v>
      </c>
      <c r="E1" s="16" t="s">
        <v>195</v>
      </c>
      <c r="F1" s="16" t="s">
        <v>196</v>
      </c>
    </row>
    <row r="2" spans="1:6" x14ac:dyDescent="0.3">
      <c r="A2" s="40"/>
      <c r="B2" s="40"/>
      <c r="C2" s="40"/>
      <c r="D2" s="40"/>
      <c r="E2" s="40"/>
      <c r="F2" s="40"/>
    </row>
    <row r="3" spans="1:6" x14ac:dyDescent="0.3">
      <c r="A3" s="40"/>
      <c r="B3" s="40"/>
      <c r="C3" s="40"/>
      <c r="D3" s="40"/>
      <c r="E3" s="40"/>
      <c r="F3" s="40"/>
    </row>
    <row r="4" spans="1:6" ht="6" customHeight="1" x14ac:dyDescent="0.3">
      <c r="A4" s="24"/>
      <c r="B4" s="24"/>
      <c r="C4" s="24"/>
      <c r="D4" s="24"/>
      <c r="E4" s="24"/>
      <c r="F4" s="24"/>
    </row>
    <row r="5" spans="1:6" ht="25.05" customHeight="1" x14ac:dyDescent="0.3">
      <c r="A5" s="53" t="s">
        <v>197</v>
      </c>
      <c r="B5" s="45"/>
      <c r="C5" s="45"/>
      <c r="D5" s="45"/>
      <c r="E5" s="45"/>
      <c r="F5" s="46"/>
    </row>
    <row r="6" spans="1:6" ht="25.05" customHeight="1" x14ac:dyDescent="0.3">
      <c r="A6" s="53" t="s">
        <v>198</v>
      </c>
      <c r="B6" s="45"/>
      <c r="C6" s="45"/>
      <c r="D6" s="45"/>
      <c r="E6" s="45"/>
      <c r="F6" s="46"/>
    </row>
    <row r="7" spans="1:6" ht="6" customHeight="1" x14ac:dyDescent="0.3">
      <c r="A7" s="24"/>
      <c r="B7" s="24"/>
      <c r="C7" s="24"/>
      <c r="D7" s="24"/>
      <c r="E7" s="24"/>
      <c r="F7" s="24"/>
    </row>
    <row r="8" spans="1:6" ht="30" customHeight="1" x14ac:dyDescent="0.3">
      <c r="A8" s="40"/>
      <c r="B8" s="40"/>
      <c r="C8" s="40"/>
      <c r="D8" s="40"/>
      <c r="E8" s="40"/>
      <c r="F8" s="40"/>
    </row>
    <row r="9" spans="1:6" ht="6" customHeight="1" x14ac:dyDescent="0.3">
      <c r="A9" s="24"/>
      <c r="B9" s="24"/>
      <c r="C9" s="24"/>
      <c r="D9" s="24"/>
      <c r="E9" s="24"/>
      <c r="F9" s="24"/>
    </row>
    <row r="10" spans="1:6" ht="25.05" customHeight="1" x14ac:dyDescent="0.3">
      <c r="A10" s="52" t="s">
        <v>199</v>
      </c>
      <c r="B10" s="45"/>
      <c r="C10" s="45"/>
      <c r="D10" s="45"/>
      <c r="E10" s="45"/>
      <c r="F10" s="46"/>
    </row>
    <row r="11" spans="1:6" x14ac:dyDescent="0.3">
      <c r="A11" s="40"/>
      <c r="B11" s="40"/>
      <c r="C11" s="40"/>
      <c r="D11" s="40"/>
      <c r="E11" s="40"/>
      <c r="F11" s="40"/>
    </row>
    <row r="12" spans="1:6" ht="25.05" customHeight="1" x14ac:dyDescent="0.3">
      <c r="A12" s="40"/>
      <c r="B12" s="40"/>
      <c r="C12" s="40"/>
      <c r="D12" s="40"/>
      <c r="E12" s="40"/>
      <c r="F12" s="40"/>
    </row>
    <row r="13" spans="1:6" ht="6" customHeight="1" x14ac:dyDescent="0.3">
      <c r="A13" s="24"/>
      <c r="B13" s="24"/>
      <c r="C13" s="24"/>
      <c r="D13" s="24"/>
      <c r="E13" s="24"/>
      <c r="F13" s="24"/>
    </row>
    <row r="14" spans="1:6" x14ac:dyDescent="0.3">
      <c r="A14" s="40"/>
      <c r="B14" s="40"/>
      <c r="C14" s="40"/>
      <c r="D14" s="40"/>
      <c r="E14" s="40"/>
      <c r="F14" s="40"/>
    </row>
    <row r="15" spans="1:6" ht="25.05" customHeight="1" x14ac:dyDescent="0.3">
      <c r="A15" s="40"/>
      <c r="B15" s="40"/>
      <c r="C15" s="40"/>
      <c r="D15" s="40"/>
      <c r="E15" s="40"/>
      <c r="F15" s="40"/>
    </row>
    <row r="16" spans="1:6" ht="6" customHeight="1" x14ac:dyDescent="0.3">
      <c r="A16" s="24"/>
      <c r="B16" s="24"/>
      <c r="C16" s="24"/>
      <c r="D16" s="24"/>
      <c r="E16" s="24"/>
      <c r="F16" s="24"/>
    </row>
    <row r="17" spans="1:6" x14ac:dyDescent="0.3">
      <c r="A17" s="40"/>
      <c r="B17" s="40"/>
      <c r="C17" s="40"/>
      <c r="D17" s="40"/>
      <c r="E17" s="40"/>
      <c r="F17" s="40"/>
    </row>
    <row r="18" spans="1:6" ht="25.05" customHeight="1" x14ac:dyDescent="0.3">
      <c r="A18" s="40"/>
      <c r="B18" s="40"/>
      <c r="C18" s="40"/>
      <c r="D18" s="40"/>
      <c r="E18" s="40"/>
      <c r="F18" s="40"/>
    </row>
    <row r="19" spans="1:6" ht="6" customHeight="1" x14ac:dyDescent="0.3">
      <c r="A19" s="24"/>
      <c r="B19" s="24"/>
      <c r="C19" s="24"/>
      <c r="D19" s="24"/>
      <c r="E19" s="24"/>
      <c r="F19" s="24"/>
    </row>
    <row r="20" spans="1:6" x14ac:dyDescent="0.3">
      <c r="A20" s="40"/>
      <c r="B20" s="40"/>
      <c r="C20" s="40"/>
      <c r="D20" s="40"/>
      <c r="E20" s="40"/>
      <c r="F20" s="40"/>
    </row>
    <row r="21" spans="1:6" ht="25.05" customHeight="1" x14ac:dyDescent="0.3">
      <c r="A21" s="40"/>
      <c r="B21" s="40"/>
      <c r="C21" s="40"/>
      <c r="D21" s="40"/>
      <c r="E21" s="40"/>
      <c r="F21" s="40"/>
    </row>
    <row r="22" spans="1:6" ht="6" customHeight="1" x14ac:dyDescent="0.3">
      <c r="A22" s="24"/>
      <c r="B22" s="24"/>
      <c r="C22" s="24"/>
      <c r="D22" s="24"/>
      <c r="E22" s="24"/>
      <c r="F22" s="24"/>
    </row>
    <row r="23" spans="1:6" x14ac:dyDescent="0.3">
      <c r="A23" s="40"/>
      <c r="B23" s="40"/>
      <c r="C23" s="40"/>
      <c r="D23" s="40"/>
      <c r="E23" s="40"/>
      <c r="F23" s="40"/>
    </row>
    <row r="24" spans="1:6" ht="25.05" customHeight="1" x14ac:dyDescent="0.3">
      <c r="A24" s="40"/>
      <c r="B24" s="40"/>
      <c r="C24" s="40"/>
      <c r="D24" s="40"/>
      <c r="E24" s="40"/>
      <c r="F24" s="40"/>
    </row>
    <row r="25" spans="1:6" ht="6" customHeight="1" x14ac:dyDescent="0.3">
      <c r="A25" s="24"/>
      <c r="B25" s="24"/>
      <c r="C25" s="24"/>
      <c r="D25" s="24"/>
      <c r="E25" s="24"/>
      <c r="F25" s="24"/>
    </row>
    <row r="26" spans="1:6" x14ac:dyDescent="0.3">
      <c r="A26" s="40"/>
      <c r="B26" s="40"/>
      <c r="C26" s="40"/>
      <c r="D26" s="40"/>
      <c r="E26" s="40"/>
      <c r="F26" s="40"/>
    </row>
    <row r="27" spans="1:6" ht="25.05" customHeight="1" x14ac:dyDescent="0.3">
      <c r="A27" s="40"/>
      <c r="B27" s="40"/>
      <c r="C27" s="40"/>
      <c r="D27" s="40"/>
      <c r="E27" s="40"/>
      <c r="F27" s="40"/>
    </row>
    <row r="28" spans="1:6" ht="6" customHeight="1" x14ac:dyDescent="0.3">
      <c r="A28" s="24"/>
      <c r="B28" s="24"/>
      <c r="C28" s="24"/>
      <c r="D28" s="24"/>
      <c r="E28" s="24"/>
      <c r="F28" s="24"/>
    </row>
    <row r="29" spans="1:6" ht="25.05" customHeight="1" x14ac:dyDescent="0.3">
      <c r="A29" s="53" t="s">
        <v>200</v>
      </c>
      <c r="B29" s="45"/>
      <c r="C29" s="45"/>
      <c r="D29" s="45"/>
      <c r="E29" s="45"/>
      <c r="F29" s="46"/>
    </row>
    <row r="30" spans="1:6" ht="6" customHeight="1" x14ac:dyDescent="0.3">
      <c r="A30" s="24"/>
      <c r="B30" s="24"/>
      <c r="C30" s="24"/>
      <c r="D30" s="24"/>
      <c r="E30" s="24"/>
      <c r="F30" s="24"/>
    </row>
    <row r="31" spans="1:6" ht="25.05" customHeight="1" x14ac:dyDescent="0.3">
      <c r="A31" s="52" t="s">
        <v>201</v>
      </c>
      <c r="B31" s="45"/>
      <c r="C31" s="45"/>
      <c r="D31" s="45"/>
      <c r="E31" s="45"/>
      <c r="F31" s="46"/>
    </row>
    <row r="32" spans="1:6" ht="34.950000000000003" customHeight="1" x14ac:dyDescent="0.3">
      <c r="A32" s="23" t="s">
        <v>76</v>
      </c>
      <c r="B32" s="19" t="s">
        <v>202</v>
      </c>
      <c r="C32" s="18" t="s">
        <v>79</v>
      </c>
      <c r="D32" s="21">
        <v>180</v>
      </c>
      <c r="E32" s="21"/>
      <c r="F32" s="21">
        <f>D32*E32</f>
        <v>0</v>
      </c>
    </row>
    <row r="33" spans="1:6" ht="6" customHeight="1" x14ac:dyDescent="0.3">
      <c r="A33" s="24"/>
      <c r="B33" s="24"/>
      <c r="C33" s="24"/>
      <c r="D33" s="24"/>
      <c r="E33" s="24"/>
      <c r="F33" s="24"/>
    </row>
    <row r="34" spans="1:6" ht="25.05" customHeight="1" x14ac:dyDescent="0.3">
      <c r="A34" s="52" t="s">
        <v>203</v>
      </c>
      <c r="B34" s="45"/>
      <c r="C34" s="45"/>
      <c r="D34" s="45"/>
      <c r="E34" s="45"/>
      <c r="F34" s="46"/>
    </row>
    <row r="35" spans="1:6" ht="34.950000000000003" customHeight="1" x14ac:dyDescent="0.3">
      <c r="A35" s="23" t="s">
        <v>80</v>
      </c>
      <c r="B35" s="19" t="s">
        <v>204</v>
      </c>
      <c r="C35" s="18" t="s">
        <v>92</v>
      </c>
      <c r="D35" s="21">
        <v>8.5</v>
      </c>
      <c r="E35" s="21"/>
      <c r="F35" s="21">
        <f>D35*E35</f>
        <v>0</v>
      </c>
    </row>
    <row r="36" spans="1:6" ht="6" customHeight="1" x14ac:dyDescent="0.3">
      <c r="A36" s="24"/>
      <c r="B36" s="24"/>
      <c r="C36" s="24"/>
      <c r="D36" s="24"/>
      <c r="E36" s="24"/>
      <c r="F36" s="24"/>
    </row>
    <row r="37" spans="1:6" ht="34.950000000000003" customHeight="1" x14ac:dyDescent="0.3">
      <c r="A37" s="23" t="s">
        <v>83</v>
      </c>
      <c r="B37" s="19" t="s">
        <v>205</v>
      </c>
      <c r="C37" s="18" t="s">
        <v>92</v>
      </c>
      <c r="D37" s="21">
        <v>12</v>
      </c>
      <c r="E37" s="21"/>
      <c r="F37" s="21">
        <f>D37*E37</f>
        <v>0</v>
      </c>
    </row>
    <row r="38" spans="1:6" ht="6" customHeight="1" x14ac:dyDescent="0.3">
      <c r="A38" s="24"/>
      <c r="B38" s="24"/>
      <c r="C38" s="24"/>
      <c r="D38" s="24"/>
      <c r="E38" s="24"/>
      <c r="F38" s="24"/>
    </row>
    <row r="39" spans="1:6" ht="34.950000000000003" customHeight="1" x14ac:dyDescent="0.3">
      <c r="A39" s="23" t="s">
        <v>86</v>
      </c>
      <c r="B39" s="19" t="s">
        <v>206</v>
      </c>
      <c r="C39" s="18" t="s">
        <v>92</v>
      </c>
      <c r="D39" s="21">
        <v>6.5</v>
      </c>
      <c r="E39" s="21"/>
      <c r="F39" s="21">
        <f>D39*E39</f>
        <v>0</v>
      </c>
    </row>
    <row r="40" spans="1:6" ht="6" customHeight="1" x14ac:dyDescent="0.3">
      <c r="A40" s="24"/>
      <c r="B40" s="24"/>
      <c r="C40" s="24"/>
      <c r="D40" s="24"/>
      <c r="E40" s="24"/>
      <c r="F40" s="24"/>
    </row>
    <row r="41" spans="1:6" ht="34.950000000000003" customHeight="1" x14ac:dyDescent="0.3">
      <c r="A41" s="23" t="s">
        <v>89</v>
      </c>
      <c r="B41" s="19" t="s">
        <v>207</v>
      </c>
      <c r="C41" s="18" t="s">
        <v>92</v>
      </c>
      <c r="D41" s="21">
        <v>15</v>
      </c>
      <c r="E41" s="21"/>
      <c r="F41" s="21">
        <f>D41*E41</f>
        <v>0</v>
      </c>
    </row>
    <row r="42" spans="1:6" ht="6" customHeight="1" x14ac:dyDescent="0.3">
      <c r="A42" s="24"/>
      <c r="B42" s="24"/>
      <c r="C42" s="24"/>
      <c r="D42" s="24"/>
      <c r="E42" s="24"/>
      <c r="F42" s="24"/>
    </row>
    <row r="43" spans="1:6" ht="25.05" customHeight="1" x14ac:dyDescent="0.3">
      <c r="A43" s="52" t="s">
        <v>208</v>
      </c>
      <c r="B43" s="45"/>
      <c r="C43" s="45"/>
      <c r="D43" s="45"/>
      <c r="E43" s="45"/>
      <c r="F43" s="46"/>
    </row>
    <row r="44" spans="1:6" ht="34.950000000000003" customHeight="1" x14ac:dyDescent="0.3">
      <c r="A44" s="23" t="s">
        <v>93</v>
      </c>
      <c r="B44" s="19" t="s">
        <v>209</v>
      </c>
      <c r="C44" s="18" t="s">
        <v>92</v>
      </c>
      <c r="D44" s="21">
        <v>18</v>
      </c>
      <c r="E44" s="21"/>
      <c r="F44" s="21">
        <f>D44*E44</f>
        <v>0</v>
      </c>
    </row>
    <row r="45" spans="1:6" ht="6" customHeight="1" x14ac:dyDescent="0.3">
      <c r="A45" s="24"/>
      <c r="B45" s="24"/>
      <c r="C45" s="24"/>
      <c r="D45" s="24"/>
      <c r="E45" s="24"/>
      <c r="F45" s="24"/>
    </row>
    <row r="46" spans="1:6" ht="34.950000000000003" customHeight="1" x14ac:dyDescent="0.3">
      <c r="A46" s="23" t="s">
        <v>210</v>
      </c>
      <c r="B46" s="19" t="s">
        <v>211</v>
      </c>
      <c r="C46" s="18" t="s">
        <v>92</v>
      </c>
      <c r="D46" s="21">
        <v>7.5</v>
      </c>
      <c r="E46" s="21"/>
      <c r="F46" s="21">
        <f>D46*E46</f>
        <v>0</v>
      </c>
    </row>
    <row r="47" spans="1:6" ht="6" customHeight="1" x14ac:dyDescent="0.3">
      <c r="A47" s="24"/>
      <c r="B47" s="24"/>
      <c r="C47" s="24"/>
      <c r="D47" s="24"/>
      <c r="E47" s="24"/>
      <c r="F47" s="24"/>
    </row>
    <row r="48" spans="1:6" ht="25.05" customHeight="1" x14ac:dyDescent="0.3">
      <c r="A48" s="23" t="s">
        <v>212</v>
      </c>
      <c r="B48" s="19" t="s">
        <v>213</v>
      </c>
      <c r="C48" s="18" t="s">
        <v>79</v>
      </c>
      <c r="D48" s="21">
        <v>35</v>
      </c>
      <c r="E48" s="21"/>
      <c r="F48" s="21">
        <f>D48*E48</f>
        <v>0</v>
      </c>
    </row>
    <row r="49" spans="1:6" ht="6" customHeight="1" x14ac:dyDescent="0.3">
      <c r="A49" s="24"/>
      <c r="B49" s="24"/>
      <c r="C49" s="24"/>
      <c r="D49" s="24"/>
      <c r="E49" s="24"/>
      <c r="F49" s="24"/>
    </row>
    <row r="50" spans="1:6" x14ac:dyDescent="0.3">
      <c r="A50" s="24"/>
      <c r="B50" s="31" t="s">
        <v>214</v>
      </c>
      <c r="C50" s="24"/>
      <c r="D50" s="24"/>
      <c r="E50" s="24"/>
      <c r="F50" s="32">
        <f>SUBTOTAL(9,F30:F49)</f>
        <v>0</v>
      </c>
    </row>
    <row r="51" spans="1:6" ht="6" customHeight="1" x14ac:dyDescent="0.3">
      <c r="A51" s="24"/>
      <c r="B51" s="24"/>
      <c r="C51" s="24"/>
      <c r="D51" s="24"/>
      <c r="E51" s="24"/>
      <c r="F51" s="24"/>
    </row>
    <row r="52" spans="1:6" ht="25.05" customHeight="1" x14ac:dyDescent="0.3">
      <c r="A52" s="53" t="s">
        <v>215</v>
      </c>
      <c r="B52" s="45"/>
      <c r="C52" s="45"/>
      <c r="D52" s="45"/>
      <c r="E52" s="45"/>
      <c r="F52" s="46"/>
    </row>
    <row r="53" spans="1:6" ht="6" customHeight="1" x14ac:dyDescent="0.3">
      <c r="A53" s="24"/>
      <c r="B53" s="24"/>
      <c r="C53" s="24"/>
      <c r="D53" s="24"/>
      <c r="E53" s="24"/>
      <c r="F53" s="24"/>
    </row>
    <row r="54" spans="1:6" ht="25.05" customHeight="1" x14ac:dyDescent="0.3">
      <c r="A54" s="52" t="s">
        <v>216</v>
      </c>
      <c r="B54" s="45"/>
      <c r="C54" s="45"/>
      <c r="D54" s="45"/>
      <c r="E54" s="45"/>
      <c r="F54" s="46"/>
    </row>
    <row r="55" spans="1:6" ht="25.05" customHeight="1" x14ac:dyDescent="0.3">
      <c r="A55" s="23" t="s">
        <v>99</v>
      </c>
      <c r="B55" s="19" t="s">
        <v>217</v>
      </c>
      <c r="C55" s="18" t="s">
        <v>92</v>
      </c>
      <c r="D55" s="21">
        <v>1.8</v>
      </c>
      <c r="E55" s="21"/>
      <c r="F55" s="21">
        <f>D55*E55</f>
        <v>0</v>
      </c>
    </row>
    <row r="56" spans="1:6" ht="6" customHeight="1" x14ac:dyDescent="0.3">
      <c r="A56" s="24"/>
      <c r="B56" s="24"/>
      <c r="C56" s="24"/>
      <c r="D56" s="24"/>
      <c r="E56" s="24"/>
      <c r="F56" s="24"/>
    </row>
    <row r="57" spans="1:6" ht="40.049999999999997" customHeight="1" x14ac:dyDescent="0.3">
      <c r="A57" s="23" t="s">
        <v>103</v>
      </c>
      <c r="B57" s="19" t="s">
        <v>218</v>
      </c>
      <c r="C57" s="18" t="s">
        <v>92</v>
      </c>
      <c r="D57" s="21">
        <v>2.4</v>
      </c>
      <c r="E57" s="21"/>
      <c r="F57" s="21">
        <f>D57*E57</f>
        <v>0</v>
      </c>
    </row>
    <row r="58" spans="1:6" ht="6" customHeight="1" x14ac:dyDescent="0.3">
      <c r="A58" s="24"/>
      <c r="B58" s="24"/>
      <c r="C58" s="24"/>
      <c r="D58" s="24"/>
      <c r="E58" s="24"/>
      <c r="F58" s="24"/>
    </row>
    <row r="59" spans="1:6" ht="40.049999999999997" customHeight="1" x14ac:dyDescent="0.3">
      <c r="A59" s="23" t="s">
        <v>107</v>
      </c>
      <c r="B59" s="19" t="s">
        <v>219</v>
      </c>
      <c r="C59" s="18" t="s">
        <v>92</v>
      </c>
      <c r="D59" s="21">
        <v>2.8</v>
      </c>
      <c r="E59" s="21"/>
      <c r="F59" s="21">
        <f>D59*E59</f>
        <v>0</v>
      </c>
    </row>
    <row r="60" spans="1:6" ht="6" customHeight="1" x14ac:dyDescent="0.3">
      <c r="A60" s="24"/>
      <c r="B60" s="24"/>
      <c r="C60" s="24"/>
      <c r="D60" s="24"/>
      <c r="E60" s="24"/>
      <c r="F60" s="24"/>
    </row>
    <row r="61" spans="1:6" ht="25.05" customHeight="1" x14ac:dyDescent="0.3">
      <c r="A61" s="52" t="s">
        <v>220</v>
      </c>
      <c r="B61" s="45"/>
      <c r="C61" s="45"/>
      <c r="D61" s="45"/>
      <c r="E61" s="45"/>
      <c r="F61" s="46"/>
    </row>
    <row r="62" spans="1:6" ht="40.049999999999997" customHeight="1" x14ac:dyDescent="0.3">
      <c r="A62" s="23" t="s">
        <v>111</v>
      </c>
      <c r="B62" s="19" t="s">
        <v>221</v>
      </c>
      <c r="C62" s="18" t="s">
        <v>92</v>
      </c>
      <c r="D62" s="21">
        <v>3.2</v>
      </c>
      <c r="E62" s="21"/>
      <c r="F62" s="21">
        <f>D62*E62</f>
        <v>0</v>
      </c>
    </row>
    <row r="63" spans="1:6" ht="6" customHeight="1" x14ac:dyDescent="0.3">
      <c r="A63" s="24"/>
      <c r="B63" s="24"/>
      <c r="C63" s="24"/>
      <c r="D63" s="24"/>
      <c r="E63" s="24"/>
      <c r="F63" s="24"/>
    </row>
    <row r="64" spans="1:6" ht="40.049999999999997" customHeight="1" x14ac:dyDescent="0.3">
      <c r="A64" s="23" t="s">
        <v>114</v>
      </c>
      <c r="B64" s="19" t="s">
        <v>222</v>
      </c>
      <c r="C64" s="18" t="s">
        <v>92</v>
      </c>
      <c r="D64" s="21">
        <v>2.6</v>
      </c>
      <c r="E64" s="21"/>
      <c r="F64" s="21">
        <f>D64*E64</f>
        <v>0</v>
      </c>
    </row>
    <row r="65" spans="1:6" ht="6" customHeight="1" x14ac:dyDescent="0.3">
      <c r="A65" s="24"/>
      <c r="B65" s="24"/>
      <c r="C65" s="24"/>
      <c r="D65" s="24"/>
      <c r="E65" s="24"/>
      <c r="F65" s="24"/>
    </row>
    <row r="66" spans="1:6" ht="40.049999999999997" customHeight="1" x14ac:dyDescent="0.3">
      <c r="A66" s="23" t="s">
        <v>185</v>
      </c>
      <c r="B66" s="19" t="s">
        <v>223</v>
      </c>
      <c r="C66" s="18" t="s">
        <v>92</v>
      </c>
      <c r="D66" s="21">
        <v>1.5</v>
      </c>
      <c r="E66" s="21"/>
      <c r="F66" s="21">
        <f>D66*E66</f>
        <v>0</v>
      </c>
    </row>
    <row r="67" spans="1:6" ht="6" customHeight="1" x14ac:dyDescent="0.3">
      <c r="A67" s="24"/>
      <c r="B67" s="24"/>
      <c r="C67" s="24"/>
      <c r="D67" s="24"/>
      <c r="E67" s="24"/>
      <c r="F67" s="24"/>
    </row>
    <row r="68" spans="1:6" ht="25.05" customHeight="1" x14ac:dyDescent="0.3">
      <c r="A68" s="52" t="s">
        <v>224</v>
      </c>
      <c r="B68" s="45"/>
      <c r="C68" s="45"/>
      <c r="D68" s="45"/>
      <c r="E68" s="45"/>
      <c r="F68" s="46"/>
    </row>
    <row r="69" spans="1:6" ht="25.05" customHeight="1" x14ac:dyDescent="0.3">
      <c r="A69" s="23" t="s">
        <v>225</v>
      </c>
      <c r="B69" s="19" t="s">
        <v>226</v>
      </c>
      <c r="C69" s="18" t="s">
        <v>106</v>
      </c>
      <c r="D69" s="21">
        <v>18</v>
      </c>
      <c r="E69" s="21"/>
      <c r="F69" s="21">
        <f>D69*E69</f>
        <v>0</v>
      </c>
    </row>
    <row r="70" spans="1:6" ht="6" customHeight="1" x14ac:dyDescent="0.3">
      <c r="A70" s="24"/>
      <c r="B70" s="24"/>
      <c r="C70" s="24"/>
      <c r="D70" s="24"/>
      <c r="E70" s="24"/>
      <c r="F70" s="24"/>
    </row>
    <row r="71" spans="1:6" ht="25.05" customHeight="1" x14ac:dyDescent="0.3">
      <c r="A71" s="23" t="s">
        <v>227</v>
      </c>
      <c r="B71" s="19" t="s">
        <v>228</v>
      </c>
      <c r="C71" s="18" t="s">
        <v>79</v>
      </c>
      <c r="D71" s="21">
        <v>8.5</v>
      </c>
      <c r="E71" s="21"/>
      <c r="F71" s="21">
        <f>D71*E71</f>
        <v>0</v>
      </c>
    </row>
    <row r="72" spans="1:6" ht="6" customHeight="1" x14ac:dyDescent="0.3">
      <c r="A72" s="24"/>
      <c r="B72" s="24"/>
      <c r="C72" s="24"/>
      <c r="D72" s="24"/>
      <c r="E72" s="24"/>
      <c r="F72" s="24"/>
    </row>
    <row r="73" spans="1:6" ht="30" customHeight="1" x14ac:dyDescent="0.3">
      <c r="A73" s="23" t="s">
        <v>229</v>
      </c>
      <c r="B73" s="19" t="s">
        <v>230</v>
      </c>
      <c r="C73" s="18" t="s">
        <v>79</v>
      </c>
      <c r="D73" s="21">
        <v>12</v>
      </c>
      <c r="E73" s="21"/>
      <c r="F73" s="21">
        <f>D73*E73</f>
        <v>0</v>
      </c>
    </row>
    <row r="74" spans="1:6" ht="6" customHeight="1" x14ac:dyDescent="0.3">
      <c r="A74" s="24"/>
      <c r="B74" s="24"/>
      <c r="C74" s="24"/>
      <c r="D74" s="24"/>
      <c r="E74" s="24"/>
      <c r="F74" s="24"/>
    </row>
    <row r="75" spans="1:6" ht="25.05" customHeight="1" x14ac:dyDescent="0.3">
      <c r="A75" s="23" t="s">
        <v>231</v>
      </c>
      <c r="B75" s="19" t="s">
        <v>232</v>
      </c>
      <c r="C75" s="18" t="s">
        <v>79</v>
      </c>
      <c r="D75" s="21">
        <v>7.5</v>
      </c>
      <c r="E75" s="21"/>
      <c r="F75" s="21">
        <f>D75*E75</f>
        <v>0</v>
      </c>
    </row>
    <row r="76" spans="1:6" ht="6" customHeight="1" x14ac:dyDescent="0.3">
      <c r="A76" s="24"/>
      <c r="B76" s="24"/>
      <c r="C76" s="24"/>
      <c r="D76" s="24"/>
      <c r="E76" s="24"/>
      <c r="F76" s="24"/>
    </row>
    <row r="77" spans="1:6" ht="25.05" customHeight="1" x14ac:dyDescent="0.3">
      <c r="A77" s="52" t="s">
        <v>233</v>
      </c>
      <c r="B77" s="45"/>
      <c r="C77" s="45"/>
      <c r="D77" s="45"/>
      <c r="E77" s="45"/>
      <c r="F77" s="46"/>
    </row>
    <row r="78" spans="1:6" ht="25.05" customHeight="1" x14ac:dyDescent="0.3">
      <c r="A78" s="23" t="s">
        <v>234</v>
      </c>
      <c r="B78" s="19" t="s">
        <v>235</v>
      </c>
      <c r="C78" s="18" t="s">
        <v>236</v>
      </c>
      <c r="D78" s="21">
        <v>0.18</v>
      </c>
      <c r="E78" s="21"/>
      <c r="F78" s="21">
        <f>D78*E78</f>
        <v>0</v>
      </c>
    </row>
    <row r="79" spans="1:6" ht="6" customHeight="1" x14ac:dyDescent="0.3">
      <c r="A79" s="24"/>
      <c r="B79" s="24"/>
      <c r="C79" s="24"/>
      <c r="D79" s="24"/>
      <c r="E79" s="24"/>
      <c r="F79" s="24"/>
    </row>
    <row r="80" spans="1:6" ht="30" customHeight="1" x14ac:dyDescent="0.3">
      <c r="A80" s="23" t="s">
        <v>237</v>
      </c>
      <c r="B80" s="19" t="s">
        <v>238</v>
      </c>
      <c r="C80" s="18" t="s">
        <v>236</v>
      </c>
      <c r="D80" s="21">
        <v>0.15</v>
      </c>
      <c r="E80" s="21"/>
      <c r="F80" s="21">
        <f>D80*E80</f>
        <v>0</v>
      </c>
    </row>
    <row r="81" spans="1:6" ht="6" customHeight="1" x14ac:dyDescent="0.3">
      <c r="A81" s="24"/>
      <c r="B81" s="24"/>
      <c r="C81" s="24"/>
      <c r="D81" s="24"/>
      <c r="E81" s="24"/>
      <c r="F81" s="24"/>
    </row>
    <row r="82" spans="1:6" ht="30" customHeight="1" x14ac:dyDescent="0.3">
      <c r="A82" s="23" t="s">
        <v>239</v>
      </c>
      <c r="B82" s="19" t="s">
        <v>240</v>
      </c>
      <c r="C82" s="18" t="s">
        <v>236</v>
      </c>
      <c r="D82" s="21">
        <v>0.28000000000000003</v>
      </c>
      <c r="E82" s="21"/>
      <c r="F82" s="21">
        <f>D82*E82</f>
        <v>0</v>
      </c>
    </row>
    <row r="83" spans="1:6" ht="6" customHeight="1" x14ac:dyDescent="0.3">
      <c r="A83" s="24"/>
      <c r="B83" s="24"/>
      <c r="C83" s="24"/>
      <c r="D83" s="24"/>
      <c r="E83" s="24"/>
      <c r="F83" s="24"/>
    </row>
    <row r="84" spans="1:6" ht="30" customHeight="1" x14ac:dyDescent="0.3">
      <c r="A84" s="23" t="s">
        <v>241</v>
      </c>
      <c r="B84" s="19" t="s">
        <v>242</v>
      </c>
      <c r="C84" s="18" t="s">
        <v>236</v>
      </c>
      <c r="D84" s="21">
        <v>0.21</v>
      </c>
      <c r="E84" s="21"/>
      <c r="F84" s="21">
        <f>D84*E84</f>
        <v>0</v>
      </c>
    </row>
    <row r="85" spans="1:6" ht="6" customHeight="1" x14ac:dyDescent="0.3">
      <c r="A85" s="24"/>
      <c r="B85" s="24"/>
      <c r="C85" s="24"/>
      <c r="D85" s="24"/>
      <c r="E85" s="24"/>
      <c r="F85" s="24"/>
    </row>
    <row r="86" spans="1:6" ht="25.05" customHeight="1" x14ac:dyDescent="0.3">
      <c r="A86" s="23" t="s">
        <v>243</v>
      </c>
      <c r="B86" s="19" t="s">
        <v>244</v>
      </c>
      <c r="C86" s="18" t="s">
        <v>79</v>
      </c>
      <c r="D86" s="21">
        <v>14</v>
      </c>
      <c r="E86" s="21"/>
      <c r="F86" s="21">
        <f>D86*E86</f>
        <v>0</v>
      </c>
    </row>
    <row r="87" spans="1:6" ht="6" customHeight="1" x14ac:dyDescent="0.3">
      <c r="A87" s="24"/>
      <c r="B87" s="24"/>
      <c r="C87" s="24"/>
      <c r="D87" s="24"/>
      <c r="E87" s="24"/>
      <c r="F87" s="24"/>
    </row>
    <row r="88" spans="1:6" ht="25.05" customHeight="1" x14ac:dyDescent="0.3">
      <c r="A88" s="52" t="s">
        <v>245</v>
      </c>
      <c r="B88" s="45"/>
      <c r="C88" s="45"/>
      <c r="D88" s="45"/>
      <c r="E88" s="45"/>
      <c r="F88" s="46"/>
    </row>
    <row r="89" spans="1:6" ht="30" customHeight="1" x14ac:dyDescent="0.3">
      <c r="A89" s="23" t="s">
        <v>246</v>
      </c>
      <c r="B89" s="19" t="s">
        <v>247</v>
      </c>
      <c r="C89" s="18" t="s">
        <v>106</v>
      </c>
      <c r="D89" s="21">
        <v>8</v>
      </c>
      <c r="E89" s="21"/>
      <c r="F89" s="21">
        <f>D89*E89</f>
        <v>0</v>
      </c>
    </row>
    <row r="90" spans="1:6" ht="6" customHeight="1" x14ac:dyDescent="0.3">
      <c r="A90" s="24"/>
      <c r="B90" s="24"/>
      <c r="C90" s="24"/>
      <c r="D90" s="24"/>
      <c r="E90" s="24"/>
      <c r="F90" s="24"/>
    </row>
    <row r="91" spans="1:6" ht="25.05" customHeight="1" x14ac:dyDescent="0.3">
      <c r="A91" s="23" t="s">
        <v>248</v>
      </c>
      <c r="B91" s="19" t="s">
        <v>249</v>
      </c>
      <c r="C91" s="18" t="s">
        <v>106</v>
      </c>
      <c r="D91" s="21">
        <v>8</v>
      </c>
      <c r="E91" s="21"/>
      <c r="F91" s="21">
        <f>D91*E91</f>
        <v>0</v>
      </c>
    </row>
    <row r="92" spans="1:6" ht="6" customHeight="1" x14ac:dyDescent="0.3">
      <c r="A92" s="24"/>
      <c r="B92" s="24"/>
      <c r="C92" s="24"/>
      <c r="D92" s="24"/>
      <c r="E92" s="24"/>
      <c r="F92" s="24"/>
    </row>
    <row r="93" spans="1:6" x14ac:dyDescent="0.3">
      <c r="A93" s="24"/>
      <c r="B93" s="31" t="s">
        <v>214</v>
      </c>
      <c r="C93" s="24"/>
      <c r="D93" s="24"/>
      <c r="E93" s="24"/>
      <c r="F93" s="32">
        <f>SUBTOTAL(9,F53:F92)</f>
        <v>0</v>
      </c>
    </row>
    <row r="94" spans="1:6" ht="6" customHeight="1" x14ac:dyDescent="0.3">
      <c r="A94" s="24"/>
      <c r="B94" s="24"/>
      <c r="C94" s="24"/>
      <c r="D94" s="24"/>
      <c r="E94" s="24"/>
      <c r="F94" s="24"/>
    </row>
    <row r="95" spans="1:6" ht="25.05" customHeight="1" x14ac:dyDescent="0.3">
      <c r="A95" s="53" t="s">
        <v>250</v>
      </c>
      <c r="B95" s="45"/>
      <c r="C95" s="45"/>
      <c r="D95" s="45"/>
      <c r="E95" s="45"/>
      <c r="F95" s="46"/>
    </row>
    <row r="96" spans="1:6" ht="6" customHeight="1" x14ac:dyDescent="0.3">
      <c r="A96" s="24"/>
      <c r="B96" s="24"/>
      <c r="C96" s="24"/>
      <c r="D96" s="24"/>
      <c r="E96" s="24"/>
      <c r="F96" s="24"/>
    </row>
    <row r="97" spans="1:6" ht="25.05" customHeight="1" x14ac:dyDescent="0.3">
      <c r="A97" s="52" t="s">
        <v>251</v>
      </c>
      <c r="B97" s="45"/>
      <c r="C97" s="45"/>
      <c r="D97" s="45"/>
      <c r="E97" s="45"/>
      <c r="F97" s="46"/>
    </row>
    <row r="98" spans="1:6" ht="40.049999999999997" customHeight="1" x14ac:dyDescent="0.3">
      <c r="A98" s="23" t="s">
        <v>120</v>
      </c>
      <c r="B98" s="19" t="s">
        <v>252</v>
      </c>
      <c r="C98" s="18" t="s">
        <v>79</v>
      </c>
      <c r="D98" s="21">
        <v>12.5</v>
      </c>
      <c r="E98" s="21"/>
      <c r="F98" s="21">
        <f>D98*E98</f>
        <v>0</v>
      </c>
    </row>
    <row r="99" spans="1:6" ht="6" customHeight="1" x14ac:dyDescent="0.3">
      <c r="A99" s="24"/>
      <c r="B99" s="24"/>
      <c r="C99" s="24"/>
      <c r="D99" s="24"/>
      <c r="E99" s="24"/>
      <c r="F99" s="24"/>
    </row>
    <row r="100" spans="1:6" ht="25.05" customHeight="1" x14ac:dyDescent="0.3">
      <c r="A100" s="52" t="s">
        <v>253</v>
      </c>
      <c r="B100" s="45"/>
      <c r="C100" s="45"/>
      <c r="D100" s="45"/>
      <c r="E100" s="45"/>
      <c r="F100" s="46"/>
    </row>
    <row r="101" spans="1:6" ht="25.05" customHeight="1" x14ac:dyDescent="0.3">
      <c r="A101" s="23" t="s">
        <v>123</v>
      </c>
      <c r="B101" s="19" t="s">
        <v>254</v>
      </c>
      <c r="C101" s="18" t="s">
        <v>106</v>
      </c>
      <c r="D101" s="21">
        <v>18</v>
      </c>
      <c r="E101" s="21"/>
      <c r="F101" s="21">
        <f>D101*E101</f>
        <v>0</v>
      </c>
    </row>
    <row r="102" spans="1:6" ht="6" customHeight="1" x14ac:dyDescent="0.3">
      <c r="A102" s="24"/>
      <c r="B102" s="24"/>
      <c r="C102" s="24"/>
      <c r="D102" s="24"/>
      <c r="E102" s="24"/>
      <c r="F102" s="24"/>
    </row>
    <row r="103" spans="1:6" x14ac:dyDescent="0.3">
      <c r="A103" s="24"/>
      <c r="B103" s="31" t="s">
        <v>214</v>
      </c>
      <c r="C103" s="24"/>
      <c r="D103" s="24"/>
      <c r="E103" s="24"/>
      <c r="F103" s="32">
        <f>SUBTOTAL(9,F96:F102)</f>
        <v>0</v>
      </c>
    </row>
    <row r="104" spans="1:6" ht="6" customHeight="1" x14ac:dyDescent="0.3">
      <c r="A104" s="24"/>
      <c r="B104" s="24"/>
      <c r="C104" s="24"/>
      <c r="D104" s="24"/>
      <c r="E104" s="24"/>
      <c r="F104" s="24"/>
    </row>
    <row r="105" spans="1:6" ht="25.05" customHeight="1" x14ac:dyDescent="0.3">
      <c r="A105" s="53" t="s">
        <v>255</v>
      </c>
      <c r="B105" s="45"/>
      <c r="C105" s="45"/>
      <c r="D105" s="45"/>
      <c r="E105" s="45"/>
      <c r="F105" s="46"/>
    </row>
    <row r="106" spans="1:6" ht="6" customHeight="1" x14ac:dyDescent="0.3">
      <c r="A106" s="24"/>
      <c r="B106" s="24"/>
      <c r="C106" s="24"/>
      <c r="D106" s="24"/>
      <c r="E106" s="24"/>
      <c r="F106" s="24"/>
    </row>
    <row r="107" spans="1:6" ht="25.05" customHeight="1" x14ac:dyDescent="0.3">
      <c r="A107" s="52" t="s">
        <v>256</v>
      </c>
      <c r="B107" s="45"/>
      <c r="C107" s="45"/>
      <c r="D107" s="45"/>
      <c r="E107" s="45"/>
      <c r="F107" s="46"/>
    </row>
    <row r="108" spans="1:6" ht="40.049999999999997" customHeight="1" x14ac:dyDescent="0.3">
      <c r="A108" s="23" t="s">
        <v>134</v>
      </c>
      <c r="B108" s="19" t="s">
        <v>257</v>
      </c>
      <c r="C108" s="18" t="s">
        <v>79</v>
      </c>
      <c r="D108" s="21">
        <v>12.5</v>
      </c>
      <c r="E108" s="21"/>
      <c r="F108" s="21">
        <f>D108*E108</f>
        <v>0</v>
      </c>
    </row>
    <row r="109" spans="1:6" ht="6" customHeight="1" x14ac:dyDescent="0.3">
      <c r="A109" s="24"/>
      <c r="B109" s="24"/>
      <c r="C109" s="24"/>
      <c r="D109" s="24"/>
      <c r="E109" s="24"/>
      <c r="F109" s="24"/>
    </row>
    <row r="110" spans="1:6" ht="40.049999999999997" customHeight="1" x14ac:dyDescent="0.3">
      <c r="A110" s="23" t="s">
        <v>137</v>
      </c>
      <c r="B110" s="19" t="s">
        <v>258</v>
      </c>
      <c r="C110" s="18" t="s">
        <v>79</v>
      </c>
      <c r="D110" s="21">
        <v>22</v>
      </c>
      <c r="E110" s="21"/>
      <c r="F110" s="21">
        <f>D110*E110</f>
        <v>0</v>
      </c>
    </row>
    <row r="111" spans="1:6" ht="6" customHeight="1" x14ac:dyDescent="0.3">
      <c r="A111" s="24"/>
      <c r="B111" s="24"/>
      <c r="C111" s="24"/>
      <c r="D111" s="24"/>
      <c r="E111" s="24"/>
      <c r="F111" s="24"/>
    </row>
    <row r="112" spans="1:6" x14ac:dyDescent="0.3">
      <c r="A112" s="24"/>
      <c r="B112" s="31" t="s">
        <v>214</v>
      </c>
      <c r="C112" s="24"/>
      <c r="D112" s="24"/>
      <c r="E112" s="24"/>
      <c r="F112" s="32">
        <f>SUBTOTAL(9,F104:F111)</f>
        <v>0</v>
      </c>
    </row>
    <row r="113" spans="1:6" ht="6" customHeight="1" x14ac:dyDescent="0.3">
      <c r="A113" s="24"/>
      <c r="B113" s="24"/>
      <c r="C113" s="24"/>
      <c r="D113" s="24"/>
      <c r="E113" s="24"/>
      <c r="F113" s="24"/>
    </row>
    <row r="114" spans="1:6" ht="6" customHeight="1" x14ac:dyDescent="0.3">
      <c r="A114" s="24"/>
      <c r="B114" s="24"/>
      <c r="C114" s="24"/>
      <c r="D114" s="24"/>
      <c r="E114" s="24"/>
      <c r="F114" s="24"/>
    </row>
    <row r="115" spans="1:6" ht="25.05" customHeight="1" x14ac:dyDescent="0.3">
      <c r="A115" s="53" t="s">
        <v>259</v>
      </c>
      <c r="B115" s="45"/>
      <c r="C115" s="45"/>
      <c r="D115" s="45"/>
      <c r="E115" s="45"/>
      <c r="F115" s="46"/>
    </row>
    <row r="116" spans="1:6" ht="6" customHeight="1" x14ac:dyDescent="0.3">
      <c r="A116" s="24"/>
      <c r="B116" s="24"/>
      <c r="C116" s="24"/>
      <c r="D116" s="24"/>
      <c r="E116" s="24"/>
      <c r="F116" s="24"/>
    </row>
    <row r="117" spans="1:6" x14ac:dyDescent="0.3">
      <c r="A117" s="24"/>
      <c r="B117" s="33" t="s">
        <v>200</v>
      </c>
      <c r="C117" s="24"/>
      <c r="D117" s="24"/>
      <c r="E117" s="24"/>
      <c r="F117" s="34">
        <f>F50</f>
        <v>0</v>
      </c>
    </row>
    <row r="118" spans="1:6" x14ac:dyDescent="0.3">
      <c r="A118" s="24"/>
      <c r="B118" s="33" t="s">
        <v>215</v>
      </c>
      <c r="C118" s="24"/>
      <c r="D118" s="24"/>
      <c r="E118" s="24"/>
      <c r="F118" s="34">
        <f>F93</f>
        <v>0</v>
      </c>
    </row>
    <row r="119" spans="1:6" x14ac:dyDescent="0.3">
      <c r="A119" s="24"/>
      <c r="B119" s="33" t="s">
        <v>250</v>
      </c>
      <c r="C119" s="24"/>
      <c r="D119" s="24"/>
      <c r="E119" s="24"/>
      <c r="F119" s="34">
        <f>F101</f>
        <v>0</v>
      </c>
    </row>
    <row r="120" spans="1:6" x14ac:dyDescent="0.3">
      <c r="A120" s="24"/>
      <c r="B120" s="33" t="s">
        <v>255</v>
      </c>
      <c r="C120" s="24"/>
      <c r="D120" s="24"/>
      <c r="E120" s="24"/>
      <c r="F120" s="34">
        <f>F107</f>
        <v>0</v>
      </c>
    </row>
    <row r="121" spans="1:6" ht="6" customHeight="1" x14ac:dyDescent="0.3">
      <c r="A121" s="24"/>
      <c r="B121" s="24"/>
      <c r="C121" s="24"/>
      <c r="D121" s="24"/>
      <c r="E121" s="24"/>
      <c r="F121" s="24"/>
    </row>
    <row r="122" spans="1:6" x14ac:dyDescent="0.3">
      <c r="A122" s="35"/>
      <c r="B122" s="36" t="s">
        <v>260</v>
      </c>
      <c r="C122" s="35"/>
      <c r="D122" s="35"/>
      <c r="E122" s="35"/>
      <c r="F122" s="37">
        <f>SUM(F111:F114)</f>
        <v>0</v>
      </c>
    </row>
    <row r="125" spans="1:6" x14ac:dyDescent="0.3">
      <c r="A125" s="54" t="s">
        <v>261</v>
      </c>
      <c r="B125" s="40"/>
      <c r="C125" s="40"/>
      <c r="D125" s="40"/>
      <c r="E125" s="40"/>
      <c r="F125" s="40"/>
    </row>
    <row r="126" spans="1:6" x14ac:dyDescent="0.3">
      <c r="A126" s="40"/>
      <c r="B126" s="40"/>
      <c r="C126" s="40"/>
      <c r="D126" s="40"/>
      <c r="E126" s="40"/>
      <c r="F126" s="40"/>
    </row>
    <row r="127" spans="1:6" x14ac:dyDescent="0.3">
      <c r="A127" s="40"/>
      <c r="B127" s="40"/>
      <c r="C127" s="40"/>
      <c r="D127" s="40"/>
      <c r="E127" s="40"/>
      <c r="F127" s="40"/>
    </row>
    <row r="128" spans="1:6" x14ac:dyDescent="0.3">
      <c r="A128" s="40"/>
      <c r="B128" s="40"/>
      <c r="C128" s="40"/>
      <c r="D128" s="40"/>
      <c r="E128" s="40"/>
      <c r="F128" s="40"/>
    </row>
    <row r="129" spans="1:6" x14ac:dyDescent="0.3">
      <c r="A129" s="40"/>
      <c r="B129" s="40"/>
      <c r="C129" s="40"/>
      <c r="D129" s="40"/>
      <c r="E129" s="40"/>
      <c r="F129" s="40"/>
    </row>
  </sheetData>
  <mergeCells count="39">
    <mergeCell ref="A129:F129"/>
    <mergeCell ref="A14:F14"/>
    <mergeCell ref="A5:F5"/>
    <mergeCell ref="A23:F23"/>
    <mergeCell ref="A126:F126"/>
    <mergeCell ref="A8:F8"/>
    <mergeCell ref="A97:F97"/>
    <mergeCell ref="A17:F17"/>
    <mergeCell ref="A100:F100"/>
    <mergeCell ref="A20:F20"/>
    <mergeCell ref="A29:F29"/>
    <mergeCell ref="A43:F43"/>
    <mergeCell ref="A125:F125"/>
    <mergeCell ref="A52:F52"/>
    <mergeCell ref="A10:F10"/>
    <mergeCell ref="A115:F115"/>
    <mergeCell ref="A3:F3"/>
    <mergeCell ref="A26:F26"/>
    <mergeCell ref="A21:F21"/>
    <mergeCell ref="A95:F95"/>
    <mergeCell ref="A2:F2"/>
    <mergeCell ref="A68:F68"/>
    <mergeCell ref="A31:F31"/>
    <mergeCell ref="A34:F34"/>
    <mergeCell ref="A77:F77"/>
    <mergeCell ref="A15:F15"/>
    <mergeCell ref="A24:F24"/>
    <mergeCell ref="A11:F11"/>
    <mergeCell ref="A61:F61"/>
    <mergeCell ref="A6:F6"/>
    <mergeCell ref="A88:F88"/>
    <mergeCell ref="A54:F54"/>
    <mergeCell ref="A128:F128"/>
    <mergeCell ref="A27:F27"/>
    <mergeCell ref="A105:F105"/>
    <mergeCell ref="A12:F12"/>
    <mergeCell ref="A18:F18"/>
    <mergeCell ref="A127:F127"/>
    <mergeCell ref="A107:F107"/>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8"/>
  <sheetViews>
    <sheetView topLeftCell="A8" workbookViewId="0"/>
  </sheetViews>
  <sheetFormatPr defaultRowHeight="14.4" x14ac:dyDescent="0.3"/>
  <cols>
    <col min="1" max="1" width="8" customWidth="1"/>
    <col min="2" max="2" width="75" customWidth="1"/>
    <col min="3" max="3" width="8" customWidth="1"/>
    <col min="4" max="5" width="12" customWidth="1"/>
    <col min="6" max="6" width="14" customWidth="1"/>
  </cols>
  <sheetData>
    <row r="1" spans="1:6" x14ac:dyDescent="0.3">
      <c r="A1" s="16" t="s">
        <v>191</v>
      </c>
      <c r="B1" s="16" t="s">
        <v>192</v>
      </c>
      <c r="C1" s="16" t="s">
        <v>193</v>
      </c>
      <c r="D1" s="16" t="s">
        <v>194</v>
      </c>
      <c r="E1" s="16" t="s">
        <v>195</v>
      </c>
      <c r="F1" s="16" t="s">
        <v>196</v>
      </c>
    </row>
    <row r="2" spans="1:6" x14ac:dyDescent="0.3">
      <c r="A2" s="40"/>
      <c r="B2" s="40"/>
      <c r="C2" s="40"/>
      <c r="D2" s="40"/>
      <c r="E2" s="40"/>
      <c r="F2" s="40"/>
    </row>
    <row r="3" spans="1:6" x14ac:dyDescent="0.3">
      <c r="A3" s="40"/>
      <c r="B3" s="40"/>
      <c r="C3" s="40"/>
      <c r="D3" s="40"/>
      <c r="E3" s="40"/>
      <c r="F3" s="40"/>
    </row>
    <row r="4" spans="1:6" ht="6" customHeight="1" x14ac:dyDescent="0.3">
      <c r="A4" s="24"/>
      <c r="B4" s="24"/>
      <c r="C4" s="24"/>
      <c r="D4" s="24"/>
      <c r="E4" s="24"/>
      <c r="F4" s="24"/>
    </row>
    <row r="5" spans="1:6" ht="25.05" customHeight="1" x14ac:dyDescent="0.3">
      <c r="A5" s="53" t="s">
        <v>262</v>
      </c>
      <c r="B5" s="45"/>
      <c r="C5" s="45"/>
      <c r="D5" s="45"/>
      <c r="E5" s="45"/>
      <c r="F5" s="46"/>
    </row>
    <row r="6" spans="1:6" ht="25.05" customHeight="1" x14ac:dyDescent="0.3">
      <c r="A6" s="53" t="s">
        <v>263</v>
      </c>
      <c r="B6" s="45"/>
      <c r="C6" s="45"/>
      <c r="D6" s="45"/>
      <c r="E6" s="45"/>
      <c r="F6" s="46"/>
    </row>
    <row r="7" spans="1:6" ht="6" customHeight="1" x14ac:dyDescent="0.3">
      <c r="A7" s="24"/>
      <c r="B7" s="24"/>
      <c r="C7" s="24"/>
      <c r="D7" s="24"/>
      <c r="E7" s="24"/>
      <c r="F7" s="24"/>
    </row>
    <row r="8" spans="1:6" ht="25.05" customHeight="1" x14ac:dyDescent="0.3">
      <c r="A8" s="52" t="s">
        <v>199</v>
      </c>
      <c r="B8" s="45"/>
      <c r="C8" s="45"/>
      <c r="D8" s="45"/>
      <c r="E8" s="45"/>
      <c r="F8" s="46"/>
    </row>
    <row r="9" spans="1:6" x14ac:dyDescent="0.3">
      <c r="A9" s="40"/>
      <c r="B9" s="40"/>
      <c r="C9" s="40"/>
      <c r="D9" s="40"/>
      <c r="E9" s="40"/>
      <c r="F9" s="40"/>
    </row>
    <row r="10" spans="1:6" ht="30" customHeight="1" x14ac:dyDescent="0.3">
      <c r="A10" s="40"/>
      <c r="B10" s="40"/>
      <c r="C10" s="40"/>
      <c r="D10" s="40"/>
      <c r="E10" s="40"/>
      <c r="F10" s="40"/>
    </row>
    <row r="11" spans="1:6" ht="6" customHeight="1" x14ac:dyDescent="0.3">
      <c r="A11" s="24"/>
      <c r="B11" s="24"/>
      <c r="C11" s="24"/>
      <c r="D11" s="24"/>
      <c r="E11" s="24"/>
      <c r="F11" s="24"/>
    </row>
    <row r="12" spans="1:6" x14ac:dyDescent="0.3">
      <c r="A12" s="40"/>
      <c r="B12" s="40"/>
      <c r="C12" s="40"/>
      <c r="D12" s="40"/>
      <c r="E12" s="40"/>
      <c r="F12" s="40"/>
    </row>
    <row r="13" spans="1:6" ht="30" customHeight="1" x14ac:dyDescent="0.3">
      <c r="A13" s="40"/>
      <c r="B13" s="40"/>
      <c r="C13" s="40"/>
      <c r="D13" s="40"/>
      <c r="E13" s="40"/>
      <c r="F13" s="40"/>
    </row>
    <row r="14" spans="1:6" ht="6" customHeight="1" x14ac:dyDescent="0.3">
      <c r="A14" s="24"/>
      <c r="B14" s="24"/>
      <c r="C14" s="24"/>
      <c r="D14" s="24"/>
      <c r="E14" s="24"/>
      <c r="F14" s="24"/>
    </row>
    <row r="15" spans="1:6" x14ac:dyDescent="0.3">
      <c r="A15" s="40"/>
      <c r="B15" s="40"/>
      <c r="C15" s="40"/>
      <c r="D15" s="40"/>
      <c r="E15" s="40"/>
      <c r="F15" s="40"/>
    </row>
    <row r="16" spans="1:6" ht="30" customHeight="1" x14ac:dyDescent="0.3">
      <c r="A16" s="40"/>
      <c r="B16" s="40"/>
      <c r="C16" s="40"/>
      <c r="D16" s="40"/>
      <c r="E16" s="40"/>
      <c r="F16" s="40"/>
    </row>
    <row r="17" spans="1:6" ht="6" customHeight="1" x14ac:dyDescent="0.3">
      <c r="A17" s="24"/>
      <c r="B17" s="24"/>
      <c r="C17" s="24"/>
      <c r="D17" s="24"/>
      <c r="E17" s="24"/>
      <c r="F17" s="24"/>
    </row>
    <row r="18" spans="1:6" x14ac:dyDescent="0.3">
      <c r="A18" s="40"/>
      <c r="B18" s="40"/>
      <c r="C18" s="40"/>
      <c r="D18" s="40"/>
      <c r="E18" s="40"/>
      <c r="F18" s="40"/>
    </row>
    <row r="19" spans="1:6" ht="30" customHeight="1" x14ac:dyDescent="0.3">
      <c r="A19" s="40"/>
      <c r="B19" s="40"/>
      <c r="C19" s="40"/>
      <c r="D19" s="40"/>
      <c r="E19" s="40"/>
      <c r="F19" s="40"/>
    </row>
    <row r="20" spans="1:6" ht="6" customHeight="1" x14ac:dyDescent="0.3">
      <c r="A20" s="24"/>
      <c r="B20" s="24"/>
      <c r="C20" s="24"/>
      <c r="D20" s="24"/>
      <c r="E20" s="24"/>
      <c r="F20" s="24"/>
    </row>
    <row r="21" spans="1:6" x14ac:dyDescent="0.3">
      <c r="A21" s="40"/>
      <c r="B21" s="40"/>
      <c r="C21" s="40"/>
      <c r="D21" s="40"/>
      <c r="E21" s="40"/>
      <c r="F21" s="40"/>
    </row>
    <row r="22" spans="1:6" ht="30" customHeight="1" x14ac:dyDescent="0.3">
      <c r="A22" s="40"/>
      <c r="B22" s="40"/>
      <c r="C22" s="40"/>
      <c r="D22" s="40"/>
      <c r="E22" s="40"/>
      <c r="F22" s="40"/>
    </row>
    <row r="23" spans="1:6" ht="6" customHeight="1" x14ac:dyDescent="0.3">
      <c r="A23" s="24"/>
      <c r="B23" s="24"/>
      <c r="C23" s="24"/>
      <c r="D23" s="24"/>
      <c r="E23" s="24"/>
      <c r="F23" s="24"/>
    </row>
    <row r="24" spans="1:6" x14ac:dyDescent="0.3">
      <c r="A24" s="40"/>
      <c r="B24" s="40"/>
      <c r="C24" s="40"/>
      <c r="D24" s="40"/>
      <c r="E24" s="40"/>
      <c r="F24" s="40"/>
    </row>
    <row r="25" spans="1:6" ht="30" customHeight="1" x14ac:dyDescent="0.3">
      <c r="A25" s="40"/>
      <c r="B25" s="40"/>
      <c r="C25" s="40"/>
      <c r="D25" s="40"/>
      <c r="E25" s="40"/>
      <c r="F25" s="40"/>
    </row>
    <row r="26" spans="1:6" ht="6" customHeight="1" x14ac:dyDescent="0.3">
      <c r="A26" s="24"/>
      <c r="B26" s="24"/>
      <c r="C26" s="24"/>
      <c r="D26" s="24"/>
      <c r="E26" s="24"/>
      <c r="F26" s="24"/>
    </row>
    <row r="27" spans="1:6" ht="25.05" customHeight="1" x14ac:dyDescent="0.3">
      <c r="A27" s="53" t="s">
        <v>264</v>
      </c>
      <c r="B27" s="45"/>
      <c r="C27" s="45"/>
      <c r="D27" s="45"/>
      <c r="E27" s="45"/>
      <c r="F27" s="46"/>
    </row>
    <row r="28" spans="1:6" ht="6" customHeight="1" x14ac:dyDescent="0.3">
      <c r="A28" s="24"/>
      <c r="B28" s="24"/>
      <c r="C28" s="24"/>
      <c r="D28" s="24"/>
      <c r="E28" s="24"/>
      <c r="F28" s="24"/>
    </row>
    <row r="29" spans="1:6" ht="25.05" customHeight="1" x14ac:dyDescent="0.3">
      <c r="A29" s="52" t="s">
        <v>265</v>
      </c>
      <c r="B29" s="45"/>
      <c r="C29" s="45"/>
      <c r="D29" s="45"/>
      <c r="E29" s="45"/>
      <c r="F29" s="46"/>
    </row>
    <row r="30" spans="1:6" ht="40.049999999999997" customHeight="1" x14ac:dyDescent="0.3">
      <c r="A30" s="23" t="s">
        <v>76</v>
      </c>
      <c r="B30" s="19" t="s">
        <v>266</v>
      </c>
      <c r="C30" s="18" t="s">
        <v>79</v>
      </c>
      <c r="D30" s="21">
        <v>45</v>
      </c>
      <c r="E30" s="21"/>
      <c r="F30" s="21">
        <f>D30*E30</f>
        <v>0</v>
      </c>
    </row>
    <row r="31" spans="1:6" ht="6" customHeight="1" x14ac:dyDescent="0.3">
      <c r="A31" s="24"/>
      <c r="B31" s="24"/>
      <c r="C31" s="24"/>
      <c r="D31" s="24"/>
      <c r="E31" s="24"/>
      <c r="F31" s="24"/>
    </row>
    <row r="32" spans="1:6" ht="40.049999999999997" customHeight="1" x14ac:dyDescent="0.3">
      <c r="A32" s="23" t="s">
        <v>80</v>
      </c>
      <c r="B32" s="19" t="s">
        <v>267</v>
      </c>
      <c r="C32" s="18" t="s">
        <v>79</v>
      </c>
      <c r="D32" s="21">
        <v>380</v>
      </c>
      <c r="E32" s="21"/>
      <c r="F32" s="21">
        <f>D32*E32</f>
        <v>0</v>
      </c>
    </row>
    <row r="33" spans="1:6" ht="6" customHeight="1" x14ac:dyDescent="0.3">
      <c r="A33" s="24"/>
      <c r="B33" s="24"/>
      <c r="C33" s="24"/>
      <c r="D33" s="24"/>
      <c r="E33" s="24"/>
      <c r="F33" s="24"/>
    </row>
    <row r="34" spans="1:6" ht="25.05" customHeight="1" x14ac:dyDescent="0.3">
      <c r="A34" s="52" t="s">
        <v>268</v>
      </c>
      <c r="B34" s="45"/>
      <c r="C34" s="45"/>
      <c r="D34" s="45"/>
      <c r="E34" s="45"/>
      <c r="F34" s="46"/>
    </row>
    <row r="35" spans="1:6" ht="40.049999999999997" customHeight="1" x14ac:dyDescent="0.3">
      <c r="A35" s="23" t="s">
        <v>83</v>
      </c>
      <c r="B35" s="19" t="s">
        <v>269</v>
      </c>
      <c r="C35" s="18" t="s">
        <v>79</v>
      </c>
      <c r="D35" s="21">
        <v>45</v>
      </c>
      <c r="E35" s="21"/>
      <c r="F35" s="21">
        <f>D35*E35</f>
        <v>0</v>
      </c>
    </row>
    <row r="36" spans="1:6" ht="6" customHeight="1" x14ac:dyDescent="0.3">
      <c r="A36" s="24"/>
      <c r="B36" s="24"/>
      <c r="C36" s="24"/>
      <c r="D36" s="24"/>
      <c r="E36" s="24"/>
      <c r="F36" s="24"/>
    </row>
    <row r="37" spans="1:6" ht="25.05" customHeight="1" x14ac:dyDescent="0.3">
      <c r="A37" s="52" t="s">
        <v>270</v>
      </c>
      <c r="B37" s="45"/>
      <c r="C37" s="45"/>
      <c r="D37" s="45"/>
      <c r="E37" s="45"/>
      <c r="F37" s="46"/>
    </row>
    <row r="38" spans="1:6" ht="40.049999999999997" customHeight="1" x14ac:dyDescent="0.3">
      <c r="A38" s="23" t="s">
        <v>86</v>
      </c>
      <c r="B38" s="19" t="s">
        <v>271</v>
      </c>
      <c r="C38" s="18" t="s">
        <v>79</v>
      </c>
      <c r="D38" s="21">
        <v>335</v>
      </c>
      <c r="E38" s="21"/>
      <c r="F38" s="21">
        <f>D38*E38</f>
        <v>0</v>
      </c>
    </row>
    <row r="39" spans="1:6" ht="6" customHeight="1" x14ac:dyDescent="0.3">
      <c r="A39" s="24"/>
      <c r="B39" s="24"/>
      <c r="C39" s="24"/>
      <c r="D39" s="24"/>
      <c r="E39" s="24"/>
      <c r="F39" s="24"/>
    </row>
    <row r="40" spans="1:6" ht="40.049999999999997" customHeight="1" x14ac:dyDescent="0.3">
      <c r="A40" s="23" t="s">
        <v>89</v>
      </c>
      <c r="B40" s="19" t="s">
        <v>272</v>
      </c>
      <c r="C40" s="18" t="s">
        <v>79</v>
      </c>
      <c r="D40" s="21">
        <v>45</v>
      </c>
      <c r="E40" s="21"/>
      <c r="F40" s="21">
        <f>D40*E40</f>
        <v>0</v>
      </c>
    </row>
    <row r="41" spans="1:6" ht="6" customHeight="1" x14ac:dyDescent="0.3">
      <c r="A41" s="24"/>
      <c r="B41" s="24"/>
      <c r="C41" s="24"/>
      <c r="D41" s="24"/>
      <c r="E41" s="24"/>
      <c r="F41" s="24"/>
    </row>
    <row r="42" spans="1:6" ht="40.049999999999997" customHeight="1" x14ac:dyDescent="0.3">
      <c r="A42" s="23" t="s">
        <v>93</v>
      </c>
      <c r="B42" s="19" t="s">
        <v>273</v>
      </c>
      <c r="C42" s="18" t="s">
        <v>79</v>
      </c>
      <c r="D42" s="21">
        <v>35</v>
      </c>
      <c r="E42" s="21"/>
      <c r="F42" s="21">
        <f>D42*E42</f>
        <v>0</v>
      </c>
    </row>
    <row r="43" spans="1:6" ht="6" customHeight="1" x14ac:dyDescent="0.3">
      <c r="A43" s="24"/>
      <c r="B43" s="24"/>
      <c r="C43" s="24"/>
      <c r="D43" s="24"/>
      <c r="E43" s="24"/>
      <c r="F43" s="24"/>
    </row>
    <row r="44" spans="1:6" x14ac:dyDescent="0.3">
      <c r="A44" s="24"/>
      <c r="B44" s="31" t="s">
        <v>214</v>
      </c>
      <c r="C44" s="24"/>
      <c r="D44" s="24"/>
      <c r="E44" s="24"/>
      <c r="F44" s="32">
        <f>SUBTOTAL(9,F28:F43)</f>
        <v>0</v>
      </c>
    </row>
    <row r="45" spans="1:6" ht="6" customHeight="1" x14ac:dyDescent="0.3">
      <c r="A45" s="24"/>
      <c r="B45" s="24"/>
      <c r="C45" s="24"/>
      <c r="D45" s="24"/>
      <c r="E45" s="24"/>
      <c r="F45" s="24"/>
    </row>
    <row r="46" spans="1:6" ht="25.05" customHeight="1" x14ac:dyDescent="0.3">
      <c r="A46" s="53" t="s">
        <v>274</v>
      </c>
      <c r="B46" s="45"/>
      <c r="C46" s="45"/>
      <c r="D46" s="45"/>
      <c r="E46" s="45"/>
      <c r="F46" s="46"/>
    </row>
    <row r="47" spans="1:6" ht="6" customHeight="1" x14ac:dyDescent="0.3">
      <c r="A47" s="24"/>
      <c r="B47" s="24"/>
      <c r="C47" s="24"/>
      <c r="D47" s="24"/>
      <c r="E47" s="24"/>
      <c r="F47" s="24"/>
    </row>
    <row r="48" spans="1:6" ht="25.05" customHeight="1" x14ac:dyDescent="0.3">
      <c r="A48" s="52" t="s">
        <v>275</v>
      </c>
      <c r="B48" s="45"/>
      <c r="C48" s="45"/>
      <c r="D48" s="45"/>
      <c r="E48" s="45"/>
      <c r="F48" s="46"/>
    </row>
    <row r="49" spans="1:6" ht="40.049999999999997" customHeight="1" x14ac:dyDescent="0.3">
      <c r="A49" s="23" t="s">
        <v>99</v>
      </c>
      <c r="B49" s="19" t="s">
        <v>276</v>
      </c>
      <c r="C49" s="18" t="s">
        <v>79</v>
      </c>
      <c r="D49" s="21">
        <v>350</v>
      </c>
      <c r="E49" s="21"/>
      <c r="F49" s="21">
        <f>D49*E49</f>
        <v>0</v>
      </c>
    </row>
    <row r="50" spans="1:6" ht="6" customHeight="1" x14ac:dyDescent="0.3">
      <c r="A50" s="24"/>
      <c r="B50" s="24"/>
      <c r="C50" s="24"/>
      <c r="D50" s="24"/>
      <c r="E50" s="24"/>
      <c r="F50" s="24"/>
    </row>
    <row r="51" spans="1:6" ht="40.049999999999997" customHeight="1" x14ac:dyDescent="0.3">
      <c r="A51" s="23" t="s">
        <v>103</v>
      </c>
      <c r="B51" s="19" t="s">
        <v>277</v>
      </c>
      <c r="C51" s="18" t="s">
        <v>79</v>
      </c>
      <c r="D51" s="21">
        <v>30</v>
      </c>
      <c r="E51" s="21"/>
      <c r="F51" s="21">
        <f>D51*E51</f>
        <v>0</v>
      </c>
    </row>
    <row r="52" spans="1:6" ht="6" customHeight="1" x14ac:dyDescent="0.3">
      <c r="A52" s="24"/>
      <c r="B52" s="24"/>
      <c r="C52" s="24"/>
      <c r="D52" s="24"/>
      <c r="E52" s="24"/>
      <c r="F52" s="24"/>
    </row>
    <row r="53" spans="1:6" ht="25.05" customHeight="1" x14ac:dyDescent="0.3">
      <c r="A53" s="52" t="s">
        <v>278</v>
      </c>
      <c r="B53" s="45"/>
      <c r="C53" s="45"/>
      <c r="D53" s="45"/>
      <c r="E53" s="45"/>
      <c r="F53" s="46"/>
    </row>
    <row r="54" spans="1:6" ht="40.049999999999997" customHeight="1" x14ac:dyDescent="0.3">
      <c r="A54" s="23" t="s">
        <v>107</v>
      </c>
      <c r="B54" s="19" t="s">
        <v>279</v>
      </c>
      <c r="C54" s="18" t="s">
        <v>79</v>
      </c>
      <c r="D54" s="21">
        <v>30</v>
      </c>
      <c r="E54" s="21"/>
      <c r="F54" s="21">
        <f>D54*E54</f>
        <v>0</v>
      </c>
    </row>
    <row r="55" spans="1:6" ht="6" customHeight="1" x14ac:dyDescent="0.3">
      <c r="A55" s="24"/>
      <c r="B55" s="24"/>
      <c r="C55" s="24"/>
      <c r="D55" s="24"/>
      <c r="E55" s="24"/>
      <c r="F55" s="24"/>
    </row>
    <row r="56" spans="1:6" ht="25.05" customHeight="1" x14ac:dyDescent="0.3">
      <c r="A56" s="52" t="s">
        <v>280</v>
      </c>
      <c r="B56" s="45"/>
      <c r="C56" s="45"/>
      <c r="D56" s="45"/>
      <c r="E56" s="45"/>
      <c r="F56" s="46"/>
    </row>
    <row r="57" spans="1:6" ht="25.05" customHeight="1" x14ac:dyDescent="0.3">
      <c r="A57" s="23" t="s">
        <v>111</v>
      </c>
      <c r="B57" s="19" t="s">
        <v>281</v>
      </c>
      <c r="C57" s="18" t="s">
        <v>102</v>
      </c>
      <c r="D57" s="21">
        <v>25</v>
      </c>
      <c r="E57" s="21"/>
      <c r="F57" s="21">
        <f>D57*E57</f>
        <v>0</v>
      </c>
    </row>
    <row r="58" spans="1:6" ht="6" customHeight="1" x14ac:dyDescent="0.3">
      <c r="A58" s="24"/>
      <c r="B58" s="24"/>
      <c r="C58" s="24"/>
      <c r="D58" s="24"/>
      <c r="E58" s="24"/>
      <c r="F58" s="24"/>
    </row>
    <row r="59" spans="1:6" ht="30" customHeight="1" x14ac:dyDescent="0.3">
      <c r="A59" s="23" t="s">
        <v>114</v>
      </c>
      <c r="B59" s="19" t="s">
        <v>282</v>
      </c>
      <c r="C59" s="18" t="s">
        <v>106</v>
      </c>
      <c r="D59" s="21">
        <v>12</v>
      </c>
      <c r="E59" s="21"/>
      <c r="F59" s="21">
        <f>D59*E59</f>
        <v>0</v>
      </c>
    </row>
    <row r="60" spans="1:6" ht="6" customHeight="1" x14ac:dyDescent="0.3">
      <c r="A60" s="24"/>
      <c r="B60" s="24"/>
      <c r="C60" s="24"/>
      <c r="D60" s="24"/>
      <c r="E60" s="24"/>
      <c r="F60" s="24"/>
    </row>
    <row r="61" spans="1:6" ht="30" customHeight="1" x14ac:dyDescent="0.3">
      <c r="A61" s="23" t="s">
        <v>185</v>
      </c>
      <c r="B61" s="19" t="s">
        <v>283</v>
      </c>
      <c r="C61" s="18" t="s">
        <v>106</v>
      </c>
      <c r="D61" s="21">
        <v>85</v>
      </c>
      <c r="E61" s="21"/>
      <c r="F61" s="21">
        <f>D61*E61</f>
        <v>0</v>
      </c>
    </row>
    <row r="62" spans="1:6" ht="6" customHeight="1" x14ac:dyDescent="0.3">
      <c r="A62" s="24"/>
      <c r="B62" s="24"/>
      <c r="C62" s="24"/>
      <c r="D62" s="24"/>
      <c r="E62" s="24"/>
      <c r="F62" s="24"/>
    </row>
    <row r="63" spans="1:6" x14ac:dyDescent="0.3">
      <c r="A63" s="24"/>
      <c r="B63" s="31" t="s">
        <v>214</v>
      </c>
      <c r="C63" s="24"/>
      <c r="D63" s="24"/>
      <c r="E63" s="24"/>
      <c r="F63" s="32">
        <f>SUBTOTAL(9,F47:F62)</f>
        <v>0</v>
      </c>
    </row>
    <row r="64" spans="1:6" ht="6" customHeight="1" x14ac:dyDescent="0.3">
      <c r="A64" s="24"/>
      <c r="B64" s="24"/>
      <c r="C64" s="24"/>
      <c r="D64" s="24"/>
      <c r="E64" s="24"/>
      <c r="F64" s="24"/>
    </row>
    <row r="65" spans="1:6" ht="25.05" customHeight="1" x14ac:dyDescent="0.3">
      <c r="A65" s="53" t="s">
        <v>284</v>
      </c>
      <c r="B65" s="45"/>
      <c r="C65" s="45"/>
      <c r="D65" s="45"/>
      <c r="E65" s="45"/>
      <c r="F65" s="46"/>
    </row>
    <row r="66" spans="1:6" ht="6" customHeight="1" x14ac:dyDescent="0.3">
      <c r="A66" s="24"/>
      <c r="B66" s="24"/>
      <c r="C66" s="24"/>
      <c r="D66" s="24"/>
      <c r="E66" s="24"/>
      <c r="F66" s="24"/>
    </row>
    <row r="67" spans="1:6" ht="25.05" customHeight="1" x14ac:dyDescent="0.3">
      <c r="A67" s="52" t="s">
        <v>285</v>
      </c>
      <c r="B67" s="45"/>
      <c r="C67" s="45"/>
      <c r="D67" s="45"/>
      <c r="E67" s="45"/>
      <c r="F67" s="46"/>
    </row>
    <row r="68" spans="1:6" ht="40.049999999999997" customHeight="1" x14ac:dyDescent="0.3">
      <c r="A68" s="23" t="s">
        <v>120</v>
      </c>
      <c r="B68" s="19" t="s">
        <v>286</v>
      </c>
      <c r="C68" s="18" t="s">
        <v>106</v>
      </c>
      <c r="D68" s="21">
        <v>95</v>
      </c>
      <c r="E68" s="21"/>
      <c r="F68" s="21">
        <f>D68*E68</f>
        <v>0</v>
      </c>
    </row>
    <row r="69" spans="1:6" ht="6" customHeight="1" x14ac:dyDescent="0.3">
      <c r="A69" s="24"/>
      <c r="B69" s="24"/>
      <c r="C69" s="24"/>
      <c r="D69" s="24"/>
      <c r="E69" s="24"/>
      <c r="F69" s="24"/>
    </row>
    <row r="70" spans="1:6" ht="25.05" customHeight="1" x14ac:dyDescent="0.3">
      <c r="A70" s="52" t="s">
        <v>287</v>
      </c>
      <c r="B70" s="45"/>
      <c r="C70" s="45"/>
      <c r="D70" s="45"/>
      <c r="E70" s="45"/>
      <c r="F70" s="46"/>
    </row>
    <row r="71" spans="1:6" ht="40.049999999999997" customHeight="1" x14ac:dyDescent="0.3">
      <c r="A71" s="23" t="s">
        <v>123</v>
      </c>
      <c r="B71" s="19" t="s">
        <v>288</v>
      </c>
      <c r="C71" s="18" t="s">
        <v>106</v>
      </c>
      <c r="D71" s="21">
        <v>125</v>
      </c>
      <c r="E71" s="21"/>
      <c r="F71" s="21">
        <f>D71*E71</f>
        <v>0</v>
      </c>
    </row>
    <row r="72" spans="1:6" ht="6" customHeight="1" x14ac:dyDescent="0.3">
      <c r="A72" s="24"/>
      <c r="B72" s="24"/>
      <c r="C72" s="24"/>
      <c r="D72" s="24"/>
      <c r="E72" s="24"/>
      <c r="F72" s="24"/>
    </row>
    <row r="73" spans="1:6" x14ac:dyDescent="0.3">
      <c r="A73" s="24"/>
      <c r="B73" s="31" t="s">
        <v>214</v>
      </c>
      <c r="C73" s="24"/>
      <c r="D73" s="24"/>
      <c r="E73" s="24"/>
      <c r="F73" s="32">
        <f>SUBTOTAL(9,F66:F72)</f>
        <v>0</v>
      </c>
    </row>
    <row r="74" spans="1:6" ht="6" customHeight="1" x14ac:dyDescent="0.3">
      <c r="A74" s="24"/>
      <c r="B74" s="24"/>
      <c r="C74" s="24"/>
      <c r="D74" s="24"/>
      <c r="E74" s="24"/>
      <c r="F74" s="24"/>
    </row>
    <row r="75" spans="1:6" ht="25.05" customHeight="1" x14ac:dyDescent="0.3">
      <c r="A75" s="53" t="s">
        <v>289</v>
      </c>
      <c r="B75" s="45"/>
      <c r="C75" s="45"/>
      <c r="D75" s="45"/>
      <c r="E75" s="45"/>
      <c r="F75" s="46"/>
    </row>
    <row r="76" spans="1:6" ht="6" customHeight="1" x14ac:dyDescent="0.3">
      <c r="A76" s="24"/>
      <c r="B76" s="24"/>
      <c r="C76" s="24"/>
      <c r="D76" s="24"/>
      <c r="E76" s="24"/>
      <c r="F76" s="24"/>
    </row>
    <row r="77" spans="1:6" ht="25.05" customHeight="1" x14ac:dyDescent="0.3">
      <c r="A77" s="52" t="s">
        <v>290</v>
      </c>
      <c r="B77" s="45"/>
      <c r="C77" s="45"/>
      <c r="D77" s="45"/>
      <c r="E77" s="45"/>
      <c r="F77" s="46"/>
    </row>
    <row r="78" spans="1:6" ht="40.049999999999997" customHeight="1" x14ac:dyDescent="0.3">
      <c r="A78" s="23" t="s">
        <v>134</v>
      </c>
      <c r="B78" s="19" t="s">
        <v>291</v>
      </c>
      <c r="C78" s="18" t="s">
        <v>79</v>
      </c>
      <c r="D78" s="21">
        <v>80</v>
      </c>
      <c r="E78" s="21"/>
      <c r="F78" s="21">
        <f>D78*E78</f>
        <v>0</v>
      </c>
    </row>
    <row r="79" spans="1:6" ht="6" customHeight="1" x14ac:dyDescent="0.3">
      <c r="A79" s="24"/>
      <c r="B79" s="24"/>
      <c r="C79" s="24"/>
      <c r="D79" s="24"/>
      <c r="E79" s="24"/>
      <c r="F79" s="24"/>
    </row>
    <row r="80" spans="1:6" ht="40.049999999999997" customHeight="1" x14ac:dyDescent="0.3">
      <c r="A80" s="23" t="s">
        <v>137</v>
      </c>
      <c r="B80" s="19" t="s">
        <v>292</v>
      </c>
      <c r="C80" s="18" t="s">
        <v>79</v>
      </c>
      <c r="D80" s="21">
        <v>80</v>
      </c>
      <c r="E80" s="21"/>
      <c r="F80" s="21">
        <f>D80*E80</f>
        <v>0</v>
      </c>
    </row>
    <row r="81" spans="1:6" ht="6" customHeight="1" x14ac:dyDescent="0.3">
      <c r="A81" s="24"/>
      <c r="B81" s="24"/>
      <c r="C81" s="24"/>
      <c r="D81" s="24"/>
      <c r="E81" s="24"/>
      <c r="F81" s="24"/>
    </row>
    <row r="82" spans="1:6" ht="25.05" customHeight="1" x14ac:dyDescent="0.3">
      <c r="A82" s="23" t="s">
        <v>140</v>
      </c>
      <c r="B82" s="19" t="s">
        <v>293</v>
      </c>
      <c r="C82" s="18" t="s">
        <v>79</v>
      </c>
      <c r="D82" s="21">
        <v>80</v>
      </c>
      <c r="E82" s="21"/>
      <c r="F82" s="21">
        <f>D82*E82</f>
        <v>0</v>
      </c>
    </row>
    <row r="83" spans="1:6" ht="6" customHeight="1" x14ac:dyDescent="0.3">
      <c r="A83" s="24"/>
      <c r="B83" s="24"/>
      <c r="C83" s="24"/>
      <c r="D83" s="24"/>
      <c r="E83" s="24"/>
      <c r="F83" s="24"/>
    </row>
    <row r="84" spans="1:6" ht="25.05" customHeight="1" x14ac:dyDescent="0.3">
      <c r="A84" s="52" t="s">
        <v>294</v>
      </c>
      <c r="B84" s="45"/>
      <c r="C84" s="45"/>
      <c r="D84" s="45"/>
      <c r="E84" s="45"/>
      <c r="F84" s="46"/>
    </row>
    <row r="85" spans="1:6" ht="40.049999999999997" customHeight="1" x14ac:dyDescent="0.3">
      <c r="A85" s="23" t="s">
        <v>142</v>
      </c>
      <c r="B85" s="19" t="s">
        <v>295</v>
      </c>
      <c r="C85" s="18" t="s">
        <v>79</v>
      </c>
      <c r="D85" s="21">
        <v>80</v>
      </c>
      <c r="E85" s="21"/>
      <c r="F85" s="21">
        <f>D85*E85</f>
        <v>0</v>
      </c>
    </row>
    <row r="86" spans="1:6" ht="6" customHeight="1" x14ac:dyDescent="0.3">
      <c r="A86" s="24"/>
      <c r="B86" s="24"/>
      <c r="C86" s="24"/>
      <c r="D86" s="24"/>
      <c r="E86" s="24"/>
      <c r="F86" s="24"/>
    </row>
    <row r="87" spans="1:6" ht="25.05" customHeight="1" x14ac:dyDescent="0.3">
      <c r="A87" s="52" t="s">
        <v>296</v>
      </c>
      <c r="B87" s="45"/>
      <c r="C87" s="45"/>
      <c r="D87" s="45"/>
      <c r="E87" s="45"/>
      <c r="F87" s="46"/>
    </row>
    <row r="88" spans="1:6" ht="40.049999999999997" customHeight="1" x14ac:dyDescent="0.3">
      <c r="A88" s="23" t="s">
        <v>297</v>
      </c>
      <c r="B88" s="19" t="s">
        <v>298</v>
      </c>
      <c r="C88" s="18" t="s">
        <v>106</v>
      </c>
      <c r="D88" s="21">
        <v>35</v>
      </c>
      <c r="E88" s="21"/>
      <c r="F88" s="21">
        <f>D88*E88</f>
        <v>0</v>
      </c>
    </row>
    <row r="89" spans="1:6" ht="6" customHeight="1" x14ac:dyDescent="0.3">
      <c r="A89" s="24"/>
      <c r="B89" s="24"/>
      <c r="C89" s="24"/>
      <c r="D89" s="24"/>
      <c r="E89" s="24"/>
      <c r="F89" s="24"/>
    </row>
    <row r="90" spans="1:6" x14ac:dyDescent="0.3">
      <c r="A90" s="24"/>
      <c r="B90" s="31" t="s">
        <v>214</v>
      </c>
      <c r="C90" s="24"/>
      <c r="D90" s="24"/>
      <c r="E90" s="24"/>
      <c r="F90" s="32">
        <f>SUBTOTAL(9,F74:F89)</f>
        <v>0</v>
      </c>
    </row>
    <row r="91" spans="1:6" ht="6" customHeight="1" x14ac:dyDescent="0.3">
      <c r="A91" s="24"/>
      <c r="B91" s="24"/>
      <c r="C91" s="24"/>
      <c r="D91" s="24"/>
      <c r="E91" s="24"/>
      <c r="F91" s="24"/>
    </row>
    <row r="92" spans="1:6" ht="6" customHeight="1" x14ac:dyDescent="0.3">
      <c r="A92" s="24"/>
      <c r="B92" s="24"/>
      <c r="C92" s="24"/>
      <c r="D92" s="24"/>
      <c r="E92" s="24"/>
      <c r="F92" s="24"/>
    </row>
    <row r="93" spans="1:6" ht="25.05" customHeight="1" x14ac:dyDescent="0.3">
      <c r="A93" s="53" t="s">
        <v>299</v>
      </c>
      <c r="B93" s="45"/>
      <c r="C93" s="45"/>
      <c r="D93" s="45"/>
      <c r="E93" s="45"/>
      <c r="F93" s="46"/>
    </row>
    <row r="94" spans="1:6" ht="6" customHeight="1" x14ac:dyDescent="0.3">
      <c r="A94" s="24"/>
      <c r="B94" s="24"/>
      <c r="C94" s="24"/>
      <c r="D94" s="24"/>
      <c r="E94" s="24"/>
      <c r="F94" s="24"/>
    </row>
    <row r="95" spans="1:6" x14ac:dyDescent="0.3">
      <c r="A95" s="24"/>
      <c r="B95" s="33" t="s">
        <v>264</v>
      </c>
      <c r="C95" s="24"/>
      <c r="D95" s="24"/>
      <c r="E95" s="24"/>
      <c r="F95" s="34">
        <f>F44</f>
        <v>0</v>
      </c>
    </row>
    <row r="96" spans="1:6" x14ac:dyDescent="0.3">
      <c r="A96" s="24"/>
      <c r="B96" s="33" t="s">
        <v>274</v>
      </c>
      <c r="C96" s="24"/>
      <c r="D96" s="24"/>
      <c r="E96" s="24"/>
      <c r="F96" s="34">
        <f>F63</f>
        <v>0</v>
      </c>
    </row>
    <row r="97" spans="1:6" x14ac:dyDescent="0.3">
      <c r="A97" s="24"/>
      <c r="B97" s="33" t="s">
        <v>284</v>
      </c>
      <c r="C97" s="24"/>
      <c r="D97" s="24"/>
      <c r="E97" s="24"/>
      <c r="F97" s="34">
        <f>F71</f>
        <v>0</v>
      </c>
    </row>
    <row r="98" spans="1:6" x14ac:dyDescent="0.3">
      <c r="A98" s="24"/>
      <c r="B98" s="33" t="s">
        <v>289</v>
      </c>
      <c r="C98" s="24"/>
      <c r="D98" s="24"/>
      <c r="E98" s="24"/>
      <c r="F98" s="34">
        <f>F88</f>
        <v>0</v>
      </c>
    </row>
    <row r="99" spans="1:6" ht="6" customHeight="1" x14ac:dyDescent="0.3">
      <c r="A99" s="24"/>
      <c r="B99" s="24"/>
      <c r="C99" s="24"/>
      <c r="D99" s="24"/>
      <c r="E99" s="24"/>
      <c r="F99" s="24"/>
    </row>
    <row r="100" spans="1:6" x14ac:dyDescent="0.3">
      <c r="A100" s="35"/>
      <c r="B100" s="36" t="s">
        <v>260</v>
      </c>
      <c r="C100" s="35"/>
      <c r="D100" s="35"/>
      <c r="E100" s="35"/>
      <c r="F100" s="37">
        <f>SUM(F92:F95)</f>
        <v>0</v>
      </c>
    </row>
    <row r="103" spans="1:6" x14ac:dyDescent="0.3">
      <c r="A103" s="55" t="s">
        <v>300</v>
      </c>
      <c r="B103" s="40"/>
      <c r="C103" s="40"/>
      <c r="D103" s="40"/>
      <c r="E103" s="40"/>
      <c r="F103" s="40"/>
    </row>
    <row r="104" spans="1:6" x14ac:dyDescent="0.3">
      <c r="A104" s="40"/>
      <c r="B104" s="40"/>
      <c r="C104" s="40"/>
      <c r="D104" s="40"/>
      <c r="E104" s="40"/>
      <c r="F104" s="40"/>
    </row>
    <row r="105" spans="1:6" x14ac:dyDescent="0.3">
      <c r="A105" s="40"/>
      <c r="B105" s="40"/>
      <c r="C105" s="40"/>
      <c r="D105" s="40"/>
      <c r="E105" s="40"/>
      <c r="F105" s="40"/>
    </row>
    <row r="106" spans="1:6" x14ac:dyDescent="0.3">
      <c r="A106" s="40"/>
      <c r="B106" s="40"/>
      <c r="C106" s="40"/>
      <c r="D106" s="40"/>
      <c r="E106" s="40"/>
      <c r="F106" s="40"/>
    </row>
    <row r="107" spans="1:6" x14ac:dyDescent="0.3">
      <c r="A107" s="40"/>
      <c r="B107" s="40"/>
      <c r="C107" s="40"/>
      <c r="D107" s="40"/>
      <c r="E107" s="40"/>
      <c r="F107" s="40"/>
    </row>
    <row r="108" spans="1:6" x14ac:dyDescent="0.3">
      <c r="A108" s="40"/>
      <c r="B108" s="40"/>
      <c r="C108" s="40"/>
      <c r="D108" s="40"/>
      <c r="E108" s="40"/>
      <c r="F108" s="40"/>
    </row>
  </sheetData>
  <mergeCells count="39">
    <mergeCell ref="A2:F2"/>
    <mergeCell ref="A5:F5"/>
    <mergeCell ref="A8:F8"/>
    <mergeCell ref="A106:F106"/>
    <mergeCell ref="A22:F22"/>
    <mergeCell ref="A25:F25"/>
    <mergeCell ref="A53:F53"/>
    <mergeCell ref="A29:F29"/>
    <mergeCell ref="A10:F10"/>
    <mergeCell ref="A93:F93"/>
    <mergeCell ref="A13:F13"/>
    <mergeCell ref="A19:F19"/>
    <mergeCell ref="A9:F9"/>
    <mergeCell ref="A67:F67"/>
    <mergeCell ref="A34:F34"/>
    <mergeCell ref="A48:F48"/>
    <mergeCell ref="A12:F12"/>
    <mergeCell ref="A18:F18"/>
    <mergeCell ref="A56:F56"/>
    <mergeCell ref="A3:F3"/>
    <mergeCell ref="A21:F21"/>
    <mergeCell ref="A15:F15"/>
    <mergeCell ref="A24:F24"/>
    <mergeCell ref="A6:F6"/>
    <mergeCell ref="A16:F16"/>
    <mergeCell ref="A46:F46"/>
    <mergeCell ref="A84:F84"/>
    <mergeCell ref="A108:F108"/>
    <mergeCell ref="A37:F37"/>
    <mergeCell ref="A75:F75"/>
    <mergeCell ref="A27:F27"/>
    <mergeCell ref="A105:F105"/>
    <mergeCell ref="A104:F104"/>
    <mergeCell ref="A77:F77"/>
    <mergeCell ref="A107:F107"/>
    <mergeCell ref="A103:F103"/>
    <mergeCell ref="A70:F70"/>
    <mergeCell ref="A87:F87"/>
    <mergeCell ref="A65:F6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tabSelected="1" workbookViewId="0">
      <selection sqref="A1:F1"/>
    </sheetView>
  </sheetViews>
  <sheetFormatPr defaultRowHeight="14.4" x14ac:dyDescent="0.3"/>
  <cols>
    <col min="1" max="1" width="8" customWidth="1"/>
    <col min="2" max="2" width="35" customWidth="1"/>
    <col min="3" max="4" width="12" customWidth="1"/>
    <col min="5" max="5" width="15" customWidth="1"/>
    <col min="6" max="6" width="40" customWidth="1"/>
  </cols>
  <sheetData>
    <row r="1" spans="1:6" ht="18" x14ac:dyDescent="0.35">
      <c r="A1" s="57" t="s">
        <v>301</v>
      </c>
      <c r="B1" s="40"/>
      <c r="C1" s="40"/>
      <c r="D1" s="40"/>
      <c r="E1" s="40"/>
      <c r="F1" s="40"/>
    </row>
    <row r="2" spans="1:6" ht="15.6" x14ac:dyDescent="0.3">
      <c r="A2" s="56" t="s">
        <v>302</v>
      </c>
      <c r="B2" s="40"/>
      <c r="C2" s="40"/>
      <c r="D2" s="40"/>
      <c r="E2" s="40"/>
      <c r="F2" s="40"/>
    </row>
    <row r="4" spans="1:6" x14ac:dyDescent="0.3">
      <c r="A4" s="16" t="s">
        <v>102</v>
      </c>
      <c r="B4" s="16" t="s">
        <v>303</v>
      </c>
      <c r="C4" s="16" t="s">
        <v>304</v>
      </c>
      <c r="D4" s="16" t="s">
        <v>305</v>
      </c>
      <c r="E4" s="16" t="s">
        <v>306</v>
      </c>
      <c r="F4" s="16" t="s">
        <v>307</v>
      </c>
    </row>
    <row r="5" spans="1:6" ht="30" customHeight="1" x14ac:dyDescent="0.3">
      <c r="A5" s="18" t="s">
        <v>308</v>
      </c>
      <c r="B5" s="19" t="s">
        <v>309</v>
      </c>
      <c r="C5" s="20" t="s">
        <v>310</v>
      </c>
      <c r="D5" s="20" t="s">
        <v>311</v>
      </c>
      <c r="E5" s="19" t="s">
        <v>312</v>
      </c>
      <c r="F5" s="19" t="s">
        <v>313</v>
      </c>
    </row>
    <row r="6" spans="1:6" ht="30" customHeight="1" x14ac:dyDescent="0.3">
      <c r="A6" s="18" t="s">
        <v>314</v>
      </c>
      <c r="B6" s="19" t="s">
        <v>315</v>
      </c>
      <c r="C6" s="20" t="s">
        <v>310</v>
      </c>
      <c r="D6" s="20" t="s">
        <v>311</v>
      </c>
      <c r="E6" s="19" t="s">
        <v>312</v>
      </c>
      <c r="F6" s="19" t="s">
        <v>313</v>
      </c>
    </row>
    <row r="7" spans="1:6" ht="30" customHeight="1" x14ac:dyDescent="0.3">
      <c r="A7" s="18" t="s">
        <v>316</v>
      </c>
      <c r="B7" s="19" t="s">
        <v>317</v>
      </c>
      <c r="C7" s="20" t="s">
        <v>310</v>
      </c>
      <c r="D7" s="20" t="s">
        <v>311</v>
      </c>
      <c r="E7" s="19" t="s">
        <v>312</v>
      </c>
      <c r="F7" s="19" t="s">
        <v>313</v>
      </c>
    </row>
    <row r="8" spans="1:6" ht="30" customHeight="1" x14ac:dyDescent="0.3">
      <c r="A8" s="18" t="s">
        <v>318</v>
      </c>
      <c r="B8" s="19" t="s">
        <v>319</v>
      </c>
      <c r="C8" s="20" t="s">
        <v>310</v>
      </c>
      <c r="D8" s="20" t="s">
        <v>311</v>
      </c>
      <c r="E8" s="19" t="s">
        <v>312</v>
      </c>
      <c r="F8" s="19" t="s">
        <v>313</v>
      </c>
    </row>
    <row r="9" spans="1:6" ht="30" customHeight="1" x14ac:dyDescent="0.3">
      <c r="A9" s="18" t="s">
        <v>320</v>
      </c>
      <c r="B9" s="19" t="s">
        <v>319</v>
      </c>
      <c r="C9" s="20" t="s">
        <v>321</v>
      </c>
      <c r="D9" s="20" t="s">
        <v>311</v>
      </c>
      <c r="E9" s="19" t="s">
        <v>312</v>
      </c>
      <c r="F9" s="19" t="s">
        <v>313</v>
      </c>
    </row>
    <row r="10" spans="1:6" ht="30" customHeight="1" x14ac:dyDescent="0.3">
      <c r="A10" s="18" t="s">
        <v>322</v>
      </c>
      <c r="B10" s="19" t="s">
        <v>319</v>
      </c>
      <c r="C10" s="20" t="s">
        <v>323</v>
      </c>
      <c r="D10" s="20" t="s">
        <v>311</v>
      </c>
      <c r="E10" s="19" t="s">
        <v>312</v>
      </c>
      <c r="F10" s="19" t="s">
        <v>313</v>
      </c>
    </row>
    <row r="11" spans="1:6" ht="30" customHeight="1" x14ac:dyDescent="0.3">
      <c r="A11" s="18" t="s">
        <v>324</v>
      </c>
      <c r="B11" s="19" t="s">
        <v>325</v>
      </c>
      <c r="C11" s="20" t="s">
        <v>326</v>
      </c>
      <c r="D11" s="20" t="s">
        <v>327</v>
      </c>
      <c r="E11" s="19" t="s">
        <v>328</v>
      </c>
      <c r="F11" s="19" t="s">
        <v>329</v>
      </c>
    </row>
    <row r="12" spans="1:6" ht="30" customHeight="1" x14ac:dyDescent="0.3">
      <c r="A12" s="18" t="s">
        <v>330</v>
      </c>
      <c r="B12" s="19" t="s">
        <v>331</v>
      </c>
      <c r="C12" s="20" t="s">
        <v>332</v>
      </c>
      <c r="D12" s="20" t="s">
        <v>311</v>
      </c>
      <c r="E12" s="19" t="s">
        <v>328</v>
      </c>
      <c r="F12" s="19" t="s">
        <v>329</v>
      </c>
    </row>
    <row r="13" spans="1:6" ht="30" customHeight="1" x14ac:dyDescent="0.3">
      <c r="A13" s="18" t="s">
        <v>333</v>
      </c>
      <c r="B13" s="19" t="s">
        <v>334</v>
      </c>
      <c r="C13" s="20" t="s">
        <v>335</v>
      </c>
      <c r="D13" s="20" t="s">
        <v>311</v>
      </c>
      <c r="E13" s="19" t="s">
        <v>336</v>
      </c>
      <c r="F13" s="19" t="s">
        <v>337</v>
      </c>
    </row>
    <row r="14" spans="1:6" ht="30" customHeight="1" x14ac:dyDescent="0.3">
      <c r="A14" s="18" t="s">
        <v>338</v>
      </c>
      <c r="B14" s="19" t="s">
        <v>339</v>
      </c>
      <c r="C14" s="20" t="s">
        <v>335</v>
      </c>
      <c r="D14" s="20" t="s">
        <v>311</v>
      </c>
      <c r="E14" s="19" t="s">
        <v>336</v>
      </c>
      <c r="F14" s="19" t="s">
        <v>337</v>
      </c>
    </row>
  </sheetData>
  <mergeCells count="2">
    <mergeCell ref="A2:F2"/>
    <mergeCell ref="A1:F1"/>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Contents</vt:lpstr>
      <vt:lpstr>Query List</vt:lpstr>
      <vt:lpstr>Bill 1 - Demolitions</vt:lpstr>
      <vt:lpstr>Bill 2 - Foundations</vt:lpstr>
      <vt:lpstr>Bill 3 - Floors</vt:lpstr>
      <vt:lpstr>Doors &amp; Windows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 Dell</cp:lastModifiedBy>
  <cp:lastPrinted>2025-12-11T12:41:12Z</cp:lastPrinted>
  <dcterms:created xsi:type="dcterms:W3CDTF">2025-12-11T08:31:09Z</dcterms:created>
  <dcterms:modified xsi:type="dcterms:W3CDTF">2025-12-11T12:41:39Z</dcterms:modified>
</cp:coreProperties>
</file>