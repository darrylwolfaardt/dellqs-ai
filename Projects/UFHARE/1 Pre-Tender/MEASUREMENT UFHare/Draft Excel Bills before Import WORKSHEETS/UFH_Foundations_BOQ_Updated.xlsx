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UFHare - MEASUREMENT\"/>
    </mc:Choice>
  </mc:AlternateContent>
  <xr:revisionPtr revIDLastSave="0" documentId="8_{EAC0F420-C764-4E40-A4C0-B317CC0E83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und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0" i="1"/>
  <c r="F108" i="1"/>
  <c r="F112" i="1" s="1"/>
  <c r="F122" i="1" s="1"/>
  <c r="F101" i="1"/>
  <c r="F119" i="1" s="1"/>
  <c r="F98" i="1"/>
  <c r="F103" i="1" s="1"/>
  <c r="F91" i="1"/>
  <c r="F89" i="1"/>
  <c r="F86" i="1"/>
  <c r="F84" i="1"/>
  <c r="F82" i="1"/>
  <c r="F80" i="1"/>
  <c r="F78" i="1"/>
  <c r="F75" i="1"/>
  <c r="F73" i="1"/>
  <c r="F71" i="1"/>
  <c r="F69" i="1"/>
  <c r="F66" i="1"/>
  <c r="F64" i="1"/>
  <c r="F62" i="1"/>
  <c r="F59" i="1"/>
  <c r="F57" i="1"/>
  <c r="F55" i="1"/>
  <c r="F93" i="1" s="1"/>
  <c r="F118" i="1" s="1"/>
  <c r="F48" i="1"/>
  <c r="F46" i="1"/>
  <c r="F44" i="1"/>
  <c r="F41" i="1"/>
  <c r="F39" i="1"/>
  <c r="F37" i="1"/>
  <c r="F35" i="1"/>
  <c r="F32" i="1"/>
  <c r="F50" i="1" s="1"/>
  <c r="F117" i="1" s="1"/>
</calcChain>
</file>

<file path=xl/sharedStrings.xml><?xml version="1.0" encoding="utf-8"?>
<sst xmlns="http://schemas.openxmlformats.org/spreadsheetml/2006/main" count="122" uniqueCount="90">
  <si>
    <t>ITEM NO</t>
  </si>
  <si>
    <t>DESCRIPTION</t>
  </si>
  <si>
    <t>UNIT</t>
  </si>
  <si>
    <t>QUANTITY</t>
  </si>
  <si>
    <t>RATE</t>
  </si>
  <si>
    <t>AMOUNT</t>
  </si>
  <si>
    <t>BILL NO. 3</t>
  </si>
  <si>
    <t>FOUNDATIONS</t>
  </si>
  <si>
    <t>PREAMBLES</t>
  </si>
  <si>
    <t>1. EARTHWORKS</t>
  </si>
  <si>
    <t>Site Clearance</t>
  </si>
  <si>
    <t>1.1</t>
  </si>
  <si>
    <t>Clear site of vegetation, topsoil, rubble and other deleterious material to a depth of 150mm. Remove from site</t>
  </si>
  <si>
    <t>m²</t>
  </si>
  <si>
    <t>Excavations</t>
  </si>
  <si>
    <t>1.2</t>
  </si>
  <si>
    <t>Excavate in material other than rock for new concrete stairs foundation to a depth not exceeding 1.00m below natural ground level, cart away surplus material and dispose of off site</t>
  </si>
  <si>
    <t>m³</t>
  </si>
  <si>
    <t>1.3</t>
  </si>
  <si>
    <t>Excavate in material other than rock for new concrete seating foundation to a depth not exceeding 0.80m below natural ground level, cart away surplus material and dispose of off site</t>
  </si>
  <si>
    <t>1.4</t>
  </si>
  <si>
    <t>Excavate in material other than rock for new planter beds to a depth not exceeding 0.50m below ground level, cart away surplus material and dispose of off site</t>
  </si>
  <si>
    <t>1.5</t>
  </si>
  <si>
    <t>Excavate in material other than rock for service trenches not exceeding 0.80m deep, cart away surplus material and dispose of off site</t>
  </si>
  <si>
    <t>Filling</t>
  </si>
  <si>
    <t>1.6</t>
  </si>
  <si>
    <t>Selected imported material filling in layers not exceeding 150mm compacted to 95% Mod AASHTO density under new external paving and stairs</t>
  </si>
  <si>
    <t>1.7</t>
  </si>
  <si>
    <t>Selected imported material filling in planter beds, including topsoil to top 300mm</t>
  </si>
  <si>
    <t>1.8</t>
  </si>
  <si>
    <t>Blinding with 25mm thick sand blinding to formation level under concrete</t>
  </si>
  <si>
    <t>CARRIED FORWARD TO SUMMARY</t>
  </si>
  <si>
    <t>2. CONCRETE, FORMWORK AND REINFORCEMENT</t>
  </si>
  <si>
    <t>Foundations - Concrete Grade 25/19</t>
  </si>
  <si>
    <t>2.1</t>
  </si>
  <si>
    <t>150mm thick mass concrete blinding grade 15/19 under new stairs foundation</t>
  </si>
  <si>
    <t>2.2</t>
  </si>
  <si>
    <t>300mm thick reinforced concrete strip foundation grade 25 MPa / 26mm for new stairs, including compacting, levelling and curing</t>
  </si>
  <si>
    <t>2.3</t>
  </si>
  <si>
    <t>200mm thick reinforced concrete pad foundation grade 25 MPa / 26mm for new concrete seating, including compacting, levelling and curing</t>
  </si>
  <si>
    <t>Superstructure - Concrete Grade 30/19</t>
  </si>
  <si>
    <t>2.4</t>
  </si>
  <si>
    <t>Reinforced concrete stairs in treads and risers grade 30/19, thickness average 180mm, including compacting, levelling, steel trowel finish to treads and curing</t>
  </si>
  <si>
    <t>2.5</t>
  </si>
  <si>
    <t>Reinforced concrete seating with upstand grade 30/19, thickness average 150mm, including smooth float finish to seat and curing</t>
  </si>
  <si>
    <t>2.6</t>
  </si>
  <si>
    <t>100mm thick mass concrete grade 25 MPa / 26mm surround to new drainage including compacting, levelling and curing</t>
  </si>
  <si>
    <t>Formwork</t>
  </si>
  <si>
    <t>2.7</t>
  </si>
  <si>
    <t>Formwork to edges of concrete strip foundations, height not exceeding 300mm</t>
  </si>
  <si>
    <t>m</t>
  </si>
  <si>
    <t>2.8</t>
  </si>
  <si>
    <t>Formwork to sides of concrete stairs, height average 1.20m</t>
  </si>
  <si>
    <t>2.9</t>
  </si>
  <si>
    <t>Formwork to edges and sides of concrete seating including fair face finish, height average 0.70m</t>
  </si>
  <si>
    <t>2.10</t>
  </si>
  <si>
    <t>Formwork to soffits of stairs, including strutting and propping</t>
  </si>
  <si>
    <t>Reinforcement - Grade 450MPa</t>
  </si>
  <si>
    <t>2.11</t>
  </si>
  <si>
    <t>Y12 bars in strip foundation, including laps, tying wire, chairs and spacers</t>
  </si>
  <si>
    <t>t</t>
  </si>
  <si>
    <t>2.12</t>
  </si>
  <si>
    <t>Y12 bars in pad foundation for seating, including laps, tying wire, chairs and spacers</t>
  </si>
  <si>
    <t>2.13</t>
  </si>
  <si>
    <t>Y12 and Y16 bars in concrete stairs, including laps, tying wire, chairs and spacers</t>
  </si>
  <si>
    <t>2.14</t>
  </si>
  <si>
    <t>Y10 and Y12 bars in concrete seating, including laps, tying wire, chairs and spacers</t>
  </si>
  <si>
    <t>2.15</t>
  </si>
  <si>
    <t>F82 fabric reinforcement in seating top, including laps of 300mm and tying wire</t>
  </si>
  <si>
    <t>Joints and Accessories</t>
  </si>
  <si>
    <t>2.16</t>
  </si>
  <si>
    <t>19mm thick premoulded compressible filler joint in concrete seating at 3.00m maximum centres</t>
  </si>
  <si>
    <t>2.17</t>
  </si>
  <si>
    <t>Polysulphide sealant to movement joints, 20 x 10mm in cross-section</t>
  </si>
  <si>
    <t>3. MASONRY</t>
  </si>
  <si>
    <t>Brickwork - Below Ground</t>
  </si>
  <si>
    <t>3.1</t>
  </si>
  <si>
    <t>230mm (one brick) walls in Corobrik breeze blocks laid in class II mortar (1:4 cement:sand) below ground level to new planter beds</t>
  </si>
  <si>
    <t>Damp-proof Courses</t>
  </si>
  <si>
    <t>3.2</t>
  </si>
  <si>
    <t>375mm wide bituminous damp-proof course to planter walls, lapped 150mm at joints</t>
  </si>
  <si>
    <t>4. WATERPROOFING</t>
  </si>
  <si>
    <t>Waterproofing to Concrete</t>
  </si>
  <si>
    <t>4.1</t>
  </si>
  <si>
    <t>Two coats bituminous waterproofing compound applied to external face of planter walls below ground level</t>
  </si>
  <si>
    <t>4.2</t>
  </si>
  <si>
    <t>Heavy duty polythene sheeting DPC under new concrete floors, lapped 150mm at joints, turned up 150mm at edges</t>
  </si>
  <si>
    <t>BILL NO. 3 - FOUNDATIONS SUMMARY</t>
  </si>
  <si>
    <t>TOTAL CARRIED TO FINAL SUMMARY</t>
  </si>
  <si>
    <t>STRUCTURAL DRAWINGS RECEIVED: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</si>
</sst>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i/>
      <sz val="9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b/>
      <sz val="10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5" fillId="0" borderId="1" xfId="0" applyFont="1" applyBorder="1"/>
    <xf numFmtId="4" fontId="6" fillId="0" borderId="1" xfId="0" applyNumberFormat="1" applyFont="1" applyBorder="1"/>
    <xf numFmtId="0" fontId="6" fillId="0" borderId="1" xfId="0" applyFont="1" applyBorder="1"/>
    <xf numFmtId="4" fontId="0" fillId="0" borderId="1" xfId="0" applyNumberFormat="1" applyBorder="1"/>
    <xf numFmtId="0" fontId="0" fillId="0" borderId="4" xfId="0" applyBorder="1"/>
    <xf numFmtId="0" fontId="2" fillId="0" borderId="4" xfId="0" applyFont="1" applyBorder="1"/>
    <xf numFmtId="4" fontId="2" fillId="4" borderId="4" xfId="0" applyNumberFormat="1" applyFont="1" applyFill="1" applyBorder="1"/>
    <xf numFmtId="0" fontId="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zoomScale="90" zoomScaleNormal="90" workbookViewId="0"/>
  </sheetViews>
  <sheetFormatPr defaultRowHeight="14.4" x14ac:dyDescent="0.3"/>
  <cols>
    <col min="1" max="1" width="8" customWidth="1"/>
    <col min="2" max="2" width="75" customWidth="1"/>
    <col min="3" max="3" width="8" customWidth="1"/>
    <col min="4" max="5" width="12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7"/>
      <c r="B2" s="17"/>
      <c r="C2" s="17"/>
      <c r="D2" s="17"/>
      <c r="E2" s="17"/>
      <c r="F2" s="17"/>
    </row>
    <row r="3" spans="1:6" x14ac:dyDescent="0.3">
      <c r="A3" s="17"/>
      <c r="B3" s="17"/>
      <c r="C3" s="17"/>
      <c r="D3" s="17"/>
      <c r="E3" s="17"/>
      <c r="F3" s="17"/>
    </row>
    <row r="4" spans="1:6" ht="6" customHeight="1" x14ac:dyDescent="0.3">
      <c r="A4" s="2"/>
      <c r="B4" s="2"/>
      <c r="C4" s="2"/>
      <c r="D4" s="2"/>
      <c r="E4" s="2"/>
      <c r="F4" s="2"/>
    </row>
    <row r="5" spans="1:6" ht="25.05" customHeight="1" x14ac:dyDescent="0.3">
      <c r="A5" s="18" t="s">
        <v>6</v>
      </c>
      <c r="B5" s="15"/>
      <c r="C5" s="15"/>
      <c r="D5" s="15"/>
      <c r="E5" s="15"/>
      <c r="F5" s="16"/>
    </row>
    <row r="6" spans="1:6" ht="25.05" customHeight="1" x14ac:dyDescent="0.3">
      <c r="A6" s="18" t="s">
        <v>7</v>
      </c>
      <c r="B6" s="15"/>
      <c r="C6" s="15"/>
      <c r="D6" s="15"/>
      <c r="E6" s="15"/>
      <c r="F6" s="16"/>
    </row>
    <row r="7" spans="1:6" ht="6" customHeight="1" x14ac:dyDescent="0.3">
      <c r="A7" s="2"/>
      <c r="B7" s="2"/>
      <c r="C7" s="2"/>
      <c r="D7" s="2"/>
      <c r="E7" s="2"/>
      <c r="F7" s="2"/>
    </row>
    <row r="8" spans="1:6" ht="30" customHeight="1" x14ac:dyDescent="0.3">
      <c r="A8" s="17"/>
      <c r="B8" s="17"/>
      <c r="C8" s="17"/>
      <c r="D8" s="17"/>
      <c r="E8" s="17"/>
      <c r="F8" s="17"/>
    </row>
    <row r="9" spans="1:6" ht="6" customHeight="1" x14ac:dyDescent="0.3">
      <c r="A9" s="2"/>
      <c r="B9" s="2"/>
      <c r="C9" s="2"/>
      <c r="D9" s="2"/>
      <c r="E9" s="2"/>
      <c r="F9" s="2"/>
    </row>
    <row r="10" spans="1:6" ht="25.05" customHeight="1" x14ac:dyDescent="0.3">
      <c r="A10" s="14" t="s">
        <v>8</v>
      </c>
      <c r="B10" s="15"/>
      <c r="C10" s="15"/>
      <c r="D10" s="15"/>
      <c r="E10" s="15"/>
      <c r="F10" s="16"/>
    </row>
    <row r="11" spans="1:6" x14ac:dyDescent="0.3">
      <c r="A11" s="17"/>
      <c r="B11" s="17"/>
      <c r="C11" s="17"/>
      <c r="D11" s="17"/>
      <c r="E11" s="17"/>
      <c r="F11" s="17"/>
    </row>
    <row r="12" spans="1:6" ht="25.05" customHeight="1" x14ac:dyDescent="0.3">
      <c r="A12" s="17"/>
      <c r="B12" s="17"/>
      <c r="C12" s="17"/>
      <c r="D12" s="17"/>
      <c r="E12" s="17"/>
      <c r="F12" s="17"/>
    </row>
    <row r="13" spans="1:6" ht="6" customHeight="1" x14ac:dyDescent="0.3">
      <c r="A13" s="2"/>
      <c r="B13" s="2"/>
      <c r="C13" s="2"/>
      <c r="D13" s="2"/>
      <c r="E13" s="2"/>
      <c r="F13" s="2"/>
    </row>
    <row r="14" spans="1:6" x14ac:dyDescent="0.3">
      <c r="A14" s="17"/>
      <c r="B14" s="17"/>
      <c r="C14" s="17"/>
      <c r="D14" s="17"/>
      <c r="E14" s="17"/>
      <c r="F14" s="17"/>
    </row>
    <row r="15" spans="1:6" ht="25.05" customHeight="1" x14ac:dyDescent="0.3">
      <c r="A15" s="17"/>
      <c r="B15" s="17"/>
      <c r="C15" s="17"/>
      <c r="D15" s="17"/>
      <c r="E15" s="17"/>
      <c r="F15" s="17"/>
    </row>
    <row r="16" spans="1:6" ht="6" customHeight="1" x14ac:dyDescent="0.3">
      <c r="A16" s="2"/>
      <c r="B16" s="2"/>
      <c r="C16" s="2"/>
      <c r="D16" s="2"/>
      <c r="E16" s="2"/>
      <c r="F16" s="2"/>
    </row>
    <row r="17" spans="1:6" x14ac:dyDescent="0.3">
      <c r="A17" s="17"/>
      <c r="B17" s="17"/>
      <c r="C17" s="17"/>
      <c r="D17" s="17"/>
      <c r="E17" s="17"/>
      <c r="F17" s="17"/>
    </row>
    <row r="18" spans="1:6" ht="25.05" customHeight="1" x14ac:dyDescent="0.3">
      <c r="A18" s="17"/>
      <c r="B18" s="17"/>
      <c r="C18" s="17"/>
      <c r="D18" s="17"/>
      <c r="E18" s="17"/>
      <c r="F18" s="17"/>
    </row>
    <row r="19" spans="1:6" ht="6" customHeight="1" x14ac:dyDescent="0.3">
      <c r="A19" s="2"/>
      <c r="B19" s="2"/>
      <c r="C19" s="2"/>
      <c r="D19" s="2"/>
      <c r="E19" s="2"/>
      <c r="F19" s="2"/>
    </row>
    <row r="20" spans="1:6" x14ac:dyDescent="0.3">
      <c r="A20" s="17"/>
      <c r="B20" s="17"/>
      <c r="C20" s="17"/>
      <c r="D20" s="17"/>
      <c r="E20" s="17"/>
      <c r="F20" s="17"/>
    </row>
    <row r="21" spans="1:6" ht="25.05" customHeight="1" x14ac:dyDescent="0.3">
      <c r="A21" s="17"/>
      <c r="B21" s="17"/>
      <c r="C21" s="17"/>
      <c r="D21" s="17"/>
      <c r="E21" s="17"/>
      <c r="F21" s="17"/>
    </row>
    <row r="22" spans="1:6" ht="6" customHeight="1" x14ac:dyDescent="0.3">
      <c r="A22" s="2"/>
      <c r="B22" s="2"/>
      <c r="C22" s="2"/>
      <c r="D22" s="2"/>
      <c r="E22" s="2"/>
      <c r="F22" s="2"/>
    </row>
    <row r="23" spans="1:6" x14ac:dyDescent="0.3">
      <c r="A23" s="17"/>
      <c r="B23" s="17"/>
      <c r="C23" s="17"/>
      <c r="D23" s="17"/>
      <c r="E23" s="17"/>
      <c r="F23" s="17"/>
    </row>
    <row r="24" spans="1:6" ht="25.05" customHeight="1" x14ac:dyDescent="0.3">
      <c r="A24" s="17"/>
      <c r="B24" s="17"/>
      <c r="C24" s="17"/>
      <c r="D24" s="17"/>
      <c r="E24" s="17"/>
      <c r="F24" s="17"/>
    </row>
    <row r="25" spans="1:6" ht="6" customHeight="1" x14ac:dyDescent="0.3">
      <c r="A25" s="2"/>
      <c r="B25" s="2"/>
      <c r="C25" s="2"/>
      <c r="D25" s="2"/>
      <c r="E25" s="2"/>
      <c r="F25" s="2"/>
    </row>
    <row r="26" spans="1:6" x14ac:dyDescent="0.3">
      <c r="A26" s="17"/>
      <c r="B26" s="17"/>
      <c r="C26" s="17"/>
      <c r="D26" s="17"/>
      <c r="E26" s="17"/>
      <c r="F26" s="17"/>
    </row>
    <row r="27" spans="1:6" ht="25.05" customHeight="1" x14ac:dyDescent="0.3">
      <c r="A27" s="17"/>
      <c r="B27" s="17"/>
      <c r="C27" s="17"/>
      <c r="D27" s="17"/>
      <c r="E27" s="17"/>
      <c r="F27" s="17"/>
    </row>
    <row r="28" spans="1:6" ht="6" customHeight="1" x14ac:dyDescent="0.3">
      <c r="A28" s="2"/>
      <c r="B28" s="2"/>
      <c r="C28" s="2"/>
      <c r="D28" s="2"/>
      <c r="E28" s="2"/>
      <c r="F28" s="2"/>
    </row>
    <row r="29" spans="1:6" ht="25.05" customHeight="1" x14ac:dyDescent="0.3">
      <c r="A29" s="18" t="s">
        <v>9</v>
      </c>
      <c r="B29" s="15"/>
      <c r="C29" s="15"/>
      <c r="D29" s="15"/>
      <c r="E29" s="15"/>
      <c r="F29" s="16"/>
    </row>
    <row r="30" spans="1:6" ht="6" customHeight="1" x14ac:dyDescent="0.3">
      <c r="A30" s="2"/>
      <c r="B30" s="2"/>
      <c r="C30" s="2"/>
      <c r="D30" s="2"/>
      <c r="E30" s="2"/>
      <c r="F30" s="2"/>
    </row>
    <row r="31" spans="1:6" ht="25.05" customHeight="1" x14ac:dyDescent="0.3">
      <c r="A31" s="14" t="s">
        <v>10</v>
      </c>
      <c r="B31" s="15"/>
      <c r="C31" s="15"/>
      <c r="D31" s="15"/>
      <c r="E31" s="15"/>
      <c r="F31" s="16"/>
    </row>
    <row r="32" spans="1:6" ht="34.950000000000003" customHeight="1" x14ac:dyDescent="0.3">
      <c r="A32" s="3" t="s">
        <v>11</v>
      </c>
      <c r="B32" s="4" t="s">
        <v>12</v>
      </c>
      <c r="C32" s="5" t="s">
        <v>13</v>
      </c>
      <c r="D32" s="6">
        <v>180</v>
      </c>
      <c r="E32" s="6"/>
      <c r="F32" s="6">
        <f>D32*E32</f>
        <v>0</v>
      </c>
    </row>
    <row r="33" spans="1:6" ht="6" customHeight="1" x14ac:dyDescent="0.3">
      <c r="A33" s="2"/>
      <c r="B33" s="2"/>
      <c r="C33" s="2"/>
      <c r="D33" s="2"/>
      <c r="E33" s="2"/>
      <c r="F33" s="2"/>
    </row>
    <row r="34" spans="1:6" ht="25.05" customHeight="1" x14ac:dyDescent="0.3">
      <c r="A34" s="14" t="s">
        <v>14</v>
      </c>
      <c r="B34" s="15"/>
      <c r="C34" s="15"/>
      <c r="D34" s="15"/>
      <c r="E34" s="15"/>
      <c r="F34" s="16"/>
    </row>
    <row r="35" spans="1:6" ht="34.950000000000003" customHeight="1" x14ac:dyDescent="0.3">
      <c r="A35" s="3" t="s">
        <v>15</v>
      </c>
      <c r="B35" s="4" t="s">
        <v>16</v>
      </c>
      <c r="C35" s="5" t="s">
        <v>17</v>
      </c>
      <c r="D35" s="6">
        <v>8.5</v>
      </c>
      <c r="E35" s="6"/>
      <c r="F35" s="6">
        <f>D35*E35</f>
        <v>0</v>
      </c>
    </row>
    <row r="36" spans="1:6" ht="6" customHeight="1" x14ac:dyDescent="0.3">
      <c r="A36" s="2"/>
      <c r="B36" s="2"/>
      <c r="C36" s="2"/>
      <c r="D36" s="2"/>
      <c r="E36" s="2"/>
      <c r="F36" s="2"/>
    </row>
    <row r="37" spans="1:6" ht="34.950000000000003" customHeight="1" x14ac:dyDescent="0.3">
      <c r="A37" s="3" t="s">
        <v>18</v>
      </c>
      <c r="B37" s="4" t="s">
        <v>19</v>
      </c>
      <c r="C37" s="5" t="s">
        <v>17</v>
      </c>
      <c r="D37" s="6">
        <v>12</v>
      </c>
      <c r="E37" s="6"/>
      <c r="F37" s="6">
        <f>D37*E37</f>
        <v>0</v>
      </c>
    </row>
    <row r="38" spans="1:6" ht="6" customHeight="1" x14ac:dyDescent="0.3">
      <c r="A38" s="2"/>
      <c r="B38" s="2"/>
      <c r="C38" s="2"/>
      <c r="D38" s="2"/>
      <c r="E38" s="2"/>
      <c r="F38" s="2"/>
    </row>
    <row r="39" spans="1:6" ht="34.950000000000003" customHeight="1" x14ac:dyDescent="0.3">
      <c r="A39" s="3" t="s">
        <v>20</v>
      </c>
      <c r="B39" s="4" t="s">
        <v>21</v>
      </c>
      <c r="C39" s="5" t="s">
        <v>17</v>
      </c>
      <c r="D39" s="6">
        <v>6.5</v>
      </c>
      <c r="E39" s="6"/>
      <c r="F39" s="6">
        <f>D39*E39</f>
        <v>0</v>
      </c>
    </row>
    <row r="40" spans="1:6" ht="6" customHeight="1" x14ac:dyDescent="0.3">
      <c r="A40" s="2"/>
      <c r="B40" s="2"/>
      <c r="C40" s="2"/>
      <c r="D40" s="2"/>
      <c r="E40" s="2"/>
      <c r="F40" s="2"/>
    </row>
    <row r="41" spans="1:6" ht="34.950000000000003" customHeight="1" x14ac:dyDescent="0.3">
      <c r="A41" s="3" t="s">
        <v>22</v>
      </c>
      <c r="B41" s="4" t="s">
        <v>23</v>
      </c>
      <c r="C41" s="5" t="s">
        <v>17</v>
      </c>
      <c r="D41" s="6">
        <v>15</v>
      </c>
      <c r="E41" s="6"/>
      <c r="F41" s="6">
        <f>D41*E41</f>
        <v>0</v>
      </c>
    </row>
    <row r="42" spans="1:6" ht="6" customHeight="1" x14ac:dyDescent="0.3">
      <c r="A42" s="2"/>
      <c r="B42" s="2"/>
      <c r="C42" s="2"/>
      <c r="D42" s="2"/>
      <c r="E42" s="2"/>
      <c r="F42" s="2"/>
    </row>
    <row r="43" spans="1:6" ht="25.05" customHeight="1" x14ac:dyDescent="0.3">
      <c r="A43" s="14" t="s">
        <v>24</v>
      </c>
      <c r="B43" s="15"/>
      <c r="C43" s="15"/>
      <c r="D43" s="15"/>
      <c r="E43" s="15"/>
      <c r="F43" s="16"/>
    </row>
    <row r="44" spans="1:6" ht="34.950000000000003" customHeight="1" x14ac:dyDescent="0.3">
      <c r="A44" s="3" t="s">
        <v>25</v>
      </c>
      <c r="B44" s="4" t="s">
        <v>26</v>
      </c>
      <c r="C44" s="5" t="s">
        <v>17</v>
      </c>
      <c r="D44" s="6">
        <v>18</v>
      </c>
      <c r="E44" s="6"/>
      <c r="F44" s="6">
        <f>D44*E44</f>
        <v>0</v>
      </c>
    </row>
    <row r="45" spans="1:6" ht="6" customHeight="1" x14ac:dyDescent="0.3">
      <c r="A45" s="2"/>
      <c r="B45" s="2"/>
      <c r="C45" s="2"/>
      <c r="D45" s="2"/>
      <c r="E45" s="2"/>
      <c r="F45" s="2"/>
    </row>
    <row r="46" spans="1:6" ht="34.950000000000003" customHeight="1" x14ac:dyDescent="0.3">
      <c r="A46" s="3" t="s">
        <v>27</v>
      </c>
      <c r="B46" s="4" t="s">
        <v>28</v>
      </c>
      <c r="C46" s="5" t="s">
        <v>17</v>
      </c>
      <c r="D46" s="6">
        <v>7.5</v>
      </c>
      <c r="E46" s="6"/>
      <c r="F46" s="6">
        <f>D46*E46</f>
        <v>0</v>
      </c>
    </row>
    <row r="47" spans="1:6" ht="6" customHeight="1" x14ac:dyDescent="0.3">
      <c r="A47" s="2"/>
      <c r="B47" s="2"/>
      <c r="C47" s="2"/>
      <c r="D47" s="2"/>
      <c r="E47" s="2"/>
      <c r="F47" s="2"/>
    </row>
    <row r="48" spans="1:6" ht="25.05" customHeight="1" x14ac:dyDescent="0.3">
      <c r="A48" s="3" t="s">
        <v>29</v>
      </c>
      <c r="B48" s="4" t="s">
        <v>30</v>
      </c>
      <c r="C48" s="5" t="s">
        <v>13</v>
      </c>
      <c r="D48" s="6">
        <v>35</v>
      </c>
      <c r="E48" s="6"/>
      <c r="F48" s="6">
        <f>D48*E48</f>
        <v>0</v>
      </c>
    </row>
    <row r="49" spans="1:6" ht="6" customHeight="1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7" t="s">
        <v>31</v>
      </c>
      <c r="C50" s="2"/>
      <c r="D50" s="2"/>
      <c r="E50" s="2"/>
      <c r="F50" s="8">
        <f>SUBTOTAL(9,F30:F49)</f>
        <v>0</v>
      </c>
    </row>
    <row r="51" spans="1:6" ht="6" customHeight="1" x14ac:dyDescent="0.3">
      <c r="A51" s="2"/>
      <c r="B51" s="2"/>
      <c r="C51" s="2"/>
      <c r="D51" s="2"/>
      <c r="E51" s="2"/>
      <c r="F51" s="2"/>
    </row>
    <row r="52" spans="1:6" ht="25.05" customHeight="1" x14ac:dyDescent="0.3">
      <c r="A52" s="18" t="s">
        <v>32</v>
      </c>
      <c r="B52" s="15"/>
      <c r="C52" s="15"/>
      <c r="D52" s="15"/>
      <c r="E52" s="15"/>
      <c r="F52" s="16"/>
    </row>
    <row r="53" spans="1:6" ht="6" customHeight="1" x14ac:dyDescent="0.3">
      <c r="A53" s="2"/>
      <c r="B53" s="2"/>
      <c r="C53" s="2"/>
      <c r="D53" s="2"/>
      <c r="E53" s="2"/>
      <c r="F53" s="2"/>
    </row>
    <row r="54" spans="1:6" ht="25.05" customHeight="1" x14ac:dyDescent="0.3">
      <c r="A54" s="14" t="s">
        <v>33</v>
      </c>
      <c r="B54" s="15"/>
      <c r="C54" s="15"/>
      <c r="D54" s="15"/>
      <c r="E54" s="15"/>
      <c r="F54" s="16"/>
    </row>
    <row r="55" spans="1:6" ht="25.05" customHeight="1" x14ac:dyDescent="0.3">
      <c r="A55" s="3" t="s">
        <v>34</v>
      </c>
      <c r="B55" s="4" t="s">
        <v>35</v>
      </c>
      <c r="C55" s="5" t="s">
        <v>17</v>
      </c>
      <c r="D55" s="6">
        <v>1.8</v>
      </c>
      <c r="E55" s="6"/>
      <c r="F55" s="6">
        <f>D55*E55</f>
        <v>0</v>
      </c>
    </row>
    <row r="56" spans="1:6" ht="6" customHeight="1" x14ac:dyDescent="0.3">
      <c r="A56" s="2"/>
      <c r="B56" s="2"/>
      <c r="C56" s="2"/>
      <c r="D56" s="2"/>
      <c r="E56" s="2"/>
      <c r="F56" s="2"/>
    </row>
    <row r="57" spans="1:6" ht="40.049999999999997" customHeight="1" x14ac:dyDescent="0.3">
      <c r="A57" s="3" t="s">
        <v>36</v>
      </c>
      <c r="B57" s="4" t="s">
        <v>37</v>
      </c>
      <c r="C57" s="5" t="s">
        <v>17</v>
      </c>
      <c r="D57" s="6">
        <v>2.4</v>
      </c>
      <c r="E57" s="6"/>
      <c r="F57" s="6">
        <f>D57*E57</f>
        <v>0</v>
      </c>
    </row>
    <row r="58" spans="1:6" ht="6" customHeight="1" x14ac:dyDescent="0.3">
      <c r="A58" s="2"/>
      <c r="B58" s="2"/>
      <c r="C58" s="2"/>
      <c r="D58" s="2"/>
      <c r="E58" s="2"/>
      <c r="F58" s="2"/>
    </row>
    <row r="59" spans="1:6" ht="40.049999999999997" customHeight="1" x14ac:dyDescent="0.3">
      <c r="A59" s="3" t="s">
        <v>38</v>
      </c>
      <c r="B59" s="4" t="s">
        <v>39</v>
      </c>
      <c r="C59" s="5" t="s">
        <v>17</v>
      </c>
      <c r="D59" s="6">
        <v>2.8</v>
      </c>
      <c r="E59" s="6"/>
      <c r="F59" s="6">
        <f>D59*E59</f>
        <v>0</v>
      </c>
    </row>
    <row r="60" spans="1:6" ht="6" customHeight="1" x14ac:dyDescent="0.3">
      <c r="A60" s="2"/>
      <c r="B60" s="2"/>
      <c r="C60" s="2"/>
      <c r="D60" s="2"/>
      <c r="E60" s="2"/>
      <c r="F60" s="2"/>
    </row>
    <row r="61" spans="1:6" ht="25.05" customHeight="1" x14ac:dyDescent="0.3">
      <c r="A61" s="14" t="s">
        <v>40</v>
      </c>
      <c r="B61" s="15"/>
      <c r="C61" s="15"/>
      <c r="D61" s="15"/>
      <c r="E61" s="15"/>
      <c r="F61" s="16"/>
    </row>
    <row r="62" spans="1:6" ht="40.049999999999997" customHeight="1" x14ac:dyDescent="0.3">
      <c r="A62" s="3" t="s">
        <v>41</v>
      </c>
      <c r="B62" s="4" t="s">
        <v>42</v>
      </c>
      <c r="C62" s="5" t="s">
        <v>17</v>
      </c>
      <c r="D62" s="6">
        <v>3.2</v>
      </c>
      <c r="E62" s="6"/>
      <c r="F62" s="6">
        <f>D62*E62</f>
        <v>0</v>
      </c>
    </row>
    <row r="63" spans="1:6" ht="6" customHeight="1" x14ac:dyDescent="0.3">
      <c r="A63" s="2"/>
      <c r="B63" s="2"/>
      <c r="C63" s="2"/>
      <c r="D63" s="2"/>
      <c r="E63" s="2"/>
      <c r="F63" s="2"/>
    </row>
    <row r="64" spans="1:6" ht="40.049999999999997" customHeight="1" x14ac:dyDescent="0.3">
      <c r="A64" s="3" t="s">
        <v>43</v>
      </c>
      <c r="B64" s="4" t="s">
        <v>44</v>
      </c>
      <c r="C64" s="5" t="s">
        <v>17</v>
      </c>
      <c r="D64" s="6">
        <v>2.6</v>
      </c>
      <c r="E64" s="6"/>
      <c r="F64" s="6">
        <f>D64*E64</f>
        <v>0</v>
      </c>
    </row>
    <row r="65" spans="1:6" ht="6" customHeight="1" x14ac:dyDescent="0.3">
      <c r="A65" s="2"/>
      <c r="B65" s="2"/>
      <c r="C65" s="2"/>
      <c r="D65" s="2"/>
      <c r="E65" s="2"/>
      <c r="F65" s="2"/>
    </row>
    <row r="66" spans="1:6" ht="40.049999999999997" customHeight="1" x14ac:dyDescent="0.3">
      <c r="A66" s="3" t="s">
        <v>45</v>
      </c>
      <c r="B66" s="4" t="s">
        <v>46</v>
      </c>
      <c r="C66" s="5" t="s">
        <v>17</v>
      </c>
      <c r="D66" s="6">
        <v>1.5</v>
      </c>
      <c r="E66" s="6"/>
      <c r="F66" s="6">
        <f>D66*E66</f>
        <v>0</v>
      </c>
    </row>
    <row r="67" spans="1:6" ht="6" customHeight="1" x14ac:dyDescent="0.3">
      <c r="A67" s="2"/>
      <c r="B67" s="2"/>
      <c r="C67" s="2"/>
      <c r="D67" s="2"/>
      <c r="E67" s="2"/>
      <c r="F67" s="2"/>
    </row>
    <row r="68" spans="1:6" ht="25.05" customHeight="1" x14ac:dyDescent="0.3">
      <c r="A68" s="14" t="s">
        <v>47</v>
      </c>
      <c r="B68" s="15"/>
      <c r="C68" s="15"/>
      <c r="D68" s="15"/>
      <c r="E68" s="15"/>
      <c r="F68" s="16"/>
    </row>
    <row r="69" spans="1:6" ht="25.05" customHeight="1" x14ac:dyDescent="0.3">
      <c r="A69" s="3" t="s">
        <v>48</v>
      </c>
      <c r="B69" s="4" t="s">
        <v>49</v>
      </c>
      <c r="C69" s="5" t="s">
        <v>50</v>
      </c>
      <c r="D69" s="6">
        <v>18</v>
      </c>
      <c r="E69" s="6"/>
      <c r="F69" s="6">
        <f>D69*E69</f>
        <v>0</v>
      </c>
    </row>
    <row r="70" spans="1:6" ht="6" customHeight="1" x14ac:dyDescent="0.3">
      <c r="A70" s="2"/>
      <c r="B70" s="2"/>
      <c r="C70" s="2"/>
      <c r="D70" s="2"/>
      <c r="E70" s="2"/>
      <c r="F70" s="2"/>
    </row>
    <row r="71" spans="1:6" ht="25.05" customHeight="1" x14ac:dyDescent="0.3">
      <c r="A71" s="3" t="s">
        <v>51</v>
      </c>
      <c r="B71" s="4" t="s">
        <v>52</v>
      </c>
      <c r="C71" s="5" t="s">
        <v>13</v>
      </c>
      <c r="D71" s="6">
        <v>8.5</v>
      </c>
      <c r="E71" s="6"/>
      <c r="F71" s="6">
        <f>D71*E71</f>
        <v>0</v>
      </c>
    </row>
    <row r="72" spans="1:6" ht="6" customHeight="1" x14ac:dyDescent="0.3">
      <c r="A72" s="2"/>
      <c r="B72" s="2"/>
      <c r="C72" s="2"/>
      <c r="D72" s="2"/>
      <c r="E72" s="2"/>
      <c r="F72" s="2"/>
    </row>
    <row r="73" spans="1:6" ht="30" customHeight="1" x14ac:dyDescent="0.3">
      <c r="A73" s="3" t="s">
        <v>53</v>
      </c>
      <c r="B73" s="4" t="s">
        <v>54</v>
      </c>
      <c r="C73" s="5" t="s">
        <v>13</v>
      </c>
      <c r="D73" s="6">
        <v>12</v>
      </c>
      <c r="E73" s="6"/>
      <c r="F73" s="6">
        <f>D73*E73</f>
        <v>0</v>
      </c>
    </row>
    <row r="74" spans="1:6" ht="6" customHeight="1" x14ac:dyDescent="0.3">
      <c r="A74" s="2"/>
      <c r="B74" s="2"/>
      <c r="C74" s="2"/>
      <c r="D74" s="2"/>
      <c r="E74" s="2"/>
      <c r="F74" s="2"/>
    </row>
    <row r="75" spans="1:6" ht="25.05" customHeight="1" x14ac:dyDescent="0.3">
      <c r="A75" s="3" t="s">
        <v>55</v>
      </c>
      <c r="B75" s="4" t="s">
        <v>56</v>
      </c>
      <c r="C75" s="5" t="s">
        <v>13</v>
      </c>
      <c r="D75" s="6">
        <v>7.5</v>
      </c>
      <c r="E75" s="6"/>
      <c r="F75" s="6">
        <f>D75*E75</f>
        <v>0</v>
      </c>
    </row>
    <row r="76" spans="1:6" ht="6" customHeight="1" x14ac:dyDescent="0.3">
      <c r="A76" s="2"/>
      <c r="B76" s="2"/>
      <c r="C76" s="2"/>
      <c r="D76" s="2"/>
      <c r="E76" s="2"/>
      <c r="F76" s="2"/>
    </row>
    <row r="77" spans="1:6" ht="25.05" customHeight="1" x14ac:dyDescent="0.3">
      <c r="A77" s="14" t="s">
        <v>57</v>
      </c>
      <c r="B77" s="15"/>
      <c r="C77" s="15"/>
      <c r="D77" s="15"/>
      <c r="E77" s="15"/>
      <c r="F77" s="16"/>
    </row>
    <row r="78" spans="1:6" ht="25.05" customHeight="1" x14ac:dyDescent="0.3">
      <c r="A78" s="3" t="s">
        <v>58</v>
      </c>
      <c r="B78" s="4" t="s">
        <v>59</v>
      </c>
      <c r="C78" s="5" t="s">
        <v>60</v>
      </c>
      <c r="D78" s="6">
        <v>0.18</v>
      </c>
      <c r="E78" s="6"/>
      <c r="F78" s="6">
        <f>D78*E78</f>
        <v>0</v>
      </c>
    </row>
    <row r="79" spans="1:6" ht="6" customHeight="1" x14ac:dyDescent="0.3">
      <c r="A79" s="2"/>
      <c r="B79" s="2"/>
      <c r="C79" s="2"/>
      <c r="D79" s="2"/>
      <c r="E79" s="2"/>
      <c r="F79" s="2"/>
    </row>
    <row r="80" spans="1:6" ht="30" customHeight="1" x14ac:dyDescent="0.3">
      <c r="A80" s="3" t="s">
        <v>61</v>
      </c>
      <c r="B80" s="4" t="s">
        <v>62</v>
      </c>
      <c r="C80" s="5" t="s">
        <v>60</v>
      </c>
      <c r="D80" s="6">
        <v>0.15</v>
      </c>
      <c r="E80" s="6"/>
      <c r="F80" s="6">
        <f>D80*E80</f>
        <v>0</v>
      </c>
    </row>
    <row r="81" spans="1:6" ht="6" customHeight="1" x14ac:dyDescent="0.3">
      <c r="A81" s="2"/>
      <c r="B81" s="2"/>
      <c r="C81" s="2"/>
      <c r="D81" s="2"/>
      <c r="E81" s="2"/>
      <c r="F81" s="2"/>
    </row>
    <row r="82" spans="1:6" ht="30" customHeight="1" x14ac:dyDescent="0.3">
      <c r="A82" s="3" t="s">
        <v>63</v>
      </c>
      <c r="B82" s="4" t="s">
        <v>64</v>
      </c>
      <c r="C82" s="5" t="s">
        <v>60</v>
      </c>
      <c r="D82" s="6">
        <v>0.28000000000000003</v>
      </c>
      <c r="E82" s="6"/>
      <c r="F82" s="6">
        <f>D82*E82</f>
        <v>0</v>
      </c>
    </row>
    <row r="83" spans="1:6" ht="6" customHeight="1" x14ac:dyDescent="0.3">
      <c r="A83" s="2"/>
      <c r="B83" s="2"/>
      <c r="C83" s="2"/>
      <c r="D83" s="2"/>
      <c r="E83" s="2"/>
      <c r="F83" s="2"/>
    </row>
    <row r="84" spans="1:6" ht="30" customHeight="1" x14ac:dyDescent="0.3">
      <c r="A84" s="3" t="s">
        <v>65</v>
      </c>
      <c r="B84" s="4" t="s">
        <v>66</v>
      </c>
      <c r="C84" s="5" t="s">
        <v>60</v>
      </c>
      <c r="D84" s="6">
        <v>0.21</v>
      </c>
      <c r="E84" s="6"/>
      <c r="F84" s="6">
        <f>D84*E84</f>
        <v>0</v>
      </c>
    </row>
    <row r="85" spans="1:6" ht="6" customHeight="1" x14ac:dyDescent="0.3">
      <c r="A85" s="2"/>
      <c r="B85" s="2"/>
      <c r="C85" s="2"/>
      <c r="D85" s="2"/>
      <c r="E85" s="2"/>
      <c r="F85" s="2"/>
    </row>
    <row r="86" spans="1:6" ht="25.05" customHeight="1" x14ac:dyDescent="0.3">
      <c r="A86" s="3" t="s">
        <v>67</v>
      </c>
      <c r="B86" s="4" t="s">
        <v>68</v>
      </c>
      <c r="C86" s="5" t="s">
        <v>13</v>
      </c>
      <c r="D86" s="6">
        <v>14</v>
      </c>
      <c r="E86" s="6"/>
      <c r="F86" s="6">
        <f>D86*E86</f>
        <v>0</v>
      </c>
    </row>
    <row r="87" spans="1:6" ht="6" customHeight="1" x14ac:dyDescent="0.3">
      <c r="A87" s="2"/>
      <c r="B87" s="2"/>
      <c r="C87" s="2"/>
      <c r="D87" s="2"/>
      <c r="E87" s="2"/>
      <c r="F87" s="2"/>
    </row>
    <row r="88" spans="1:6" ht="25.05" customHeight="1" x14ac:dyDescent="0.3">
      <c r="A88" s="14" t="s">
        <v>69</v>
      </c>
      <c r="B88" s="15"/>
      <c r="C88" s="15"/>
      <c r="D88" s="15"/>
      <c r="E88" s="15"/>
      <c r="F88" s="16"/>
    </row>
    <row r="89" spans="1:6" ht="30" customHeight="1" x14ac:dyDescent="0.3">
      <c r="A89" s="3" t="s">
        <v>70</v>
      </c>
      <c r="B89" s="4" t="s">
        <v>71</v>
      </c>
      <c r="C89" s="5" t="s">
        <v>50</v>
      </c>
      <c r="D89" s="6">
        <v>8</v>
      </c>
      <c r="E89" s="6"/>
      <c r="F89" s="6">
        <f>D89*E89</f>
        <v>0</v>
      </c>
    </row>
    <row r="90" spans="1:6" ht="6" customHeight="1" x14ac:dyDescent="0.3">
      <c r="A90" s="2"/>
      <c r="B90" s="2"/>
      <c r="C90" s="2"/>
      <c r="D90" s="2"/>
      <c r="E90" s="2"/>
      <c r="F90" s="2"/>
    </row>
    <row r="91" spans="1:6" ht="25.05" customHeight="1" x14ac:dyDescent="0.3">
      <c r="A91" s="3" t="s">
        <v>72</v>
      </c>
      <c r="B91" s="4" t="s">
        <v>73</v>
      </c>
      <c r="C91" s="5" t="s">
        <v>50</v>
      </c>
      <c r="D91" s="6">
        <v>8</v>
      </c>
      <c r="E91" s="6"/>
      <c r="F91" s="6">
        <f>D91*E91</f>
        <v>0</v>
      </c>
    </row>
    <row r="92" spans="1:6" ht="6" customHeight="1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7" t="s">
        <v>31</v>
      </c>
      <c r="C93" s="2"/>
      <c r="D93" s="2"/>
      <c r="E93" s="2"/>
      <c r="F93" s="8">
        <f>SUBTOTAL(9,F53:F92)</f>
        <v>0</v>
      </c>
    </row>
    <row r="94" spans="1:6" ht="6" customHeight="1" x14ac:dyDescent="0.3">
      <c r="A94" s="2"/>
      <c r="B94" s="2"/>
      <c r="C94" s="2"/>
      <c r="D94" s="2"/>
      <c r="E94" s="2"/>
      <c r="F94" s="2"/>
    </row>
    <row r="95" spans="1:6" ht="25.05" customHeight="1" x14ac:dyDescent="0.3">
      <c r="A95" s="18" t="s">
        <v>74</v>
      </c>
      <c r="B95" s="15"/>
      <c r="C95" s="15"/>
      <c r="D95" s="15"/>
      <c r="E95" s="15"/>
      <c r="F95" s="16"/>
    </row>
    <row r="96" spans="1:6" ht="6" customHeight="1" x14ac:dyDescent="0.3">
      <c r="A96" s="2"/>
      <c r="B96" s="2"/>
      <c r="C96" s="2"/>
      <c r="D96" s="2"/>
      <c r="E96" s="2"/>
      <c r="F96" s="2"/>
    </row>
    <row r="97" spans="1:6" ht="25.05" customHeight="1" x14ac:dyDescent="0.3">
      <c r="A97" s="14" t="s">
        <v>75</v>
      </c>
      <c r="B97" s="15"/>
      <c r="C97" s="15"/>
      <c r="D97" s="15"/>
      <c r="E97" s="15"/>
      <c r="F97" s="16"/>
    </row>
    <row r="98" spans="1:6" ht="40.049999999999997" customHeight="1" x14ac:dyDescent="0.3">
      <c r="A98" s="3" t="s">
        <v>76</v>
      </c>
      <c r="B98" s="4" t="s">
        <v>77</v>
      </c>
      <c r="C98" s="5" t="s">
        <v>13</v>
      </c>
      <c r="D98" s="6">
        <v>12.5</v>
      </c>
      <c r="E98" s="6"/>
      <c r="F98" s="6">
        <f>D98*E98</f>
        <v>0</v>
      </c>
    </row>
    <row r="99" spans="1:6" ht="6" customHeight="1" x14ac:dyDescent="0.3">
      <c r="A99" s="2"/>
      <c r="B99" s="2"/>
      <c r="C99" s="2"/>
      <c r="D99" s="2"/>
      <c r="E99" s="2"/>
      <c r="F99" s="2"/>
    </row>
    <row r="100" spans="1:6" ht="25.05" customHeight="1" x14ac:dyDescent="0.3">
      <c r="A100" s="14" t="s">
        <v>78</v>
      </c>
      <c r="B100" s="15"/>
      <c r="C100" s="15"/>
      <c r="D100" s="15"/>
      <c r="E100" s="15"/>
      <c r="F100" s="16"/>
    </row>
    <row r="101" spans="1:6" ht="25.05" customHeight="1" x14ac:dyDescent="0.3">
      <c r="A101" s="3" t="s">
        <v>79</v>
      </c>
      <c r="B101" s="4" t="s">
        <v>80</v>
      </c>
      <c r="C101" s="5" t="s">
        <v>50</v>
      </c>
      <c r="D101" s="6">
        <v>18</v>
      </c>
      <c r="E101" s="6"/>
      <c r="F101" s="6">
        <f>D101*E101</f>
        <v>0</v>
      </c>
    </row>
    <row r="102" spans="1:6" ht="6" customHeight="1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7" t="s">
        <v>31</v>
      </c>
      <c r="C103" s="2"/>
      <c r="D103" s="2"/>
      <c r="E103" s="2"/>
      <c r="F103" s="8">
        <f>SUBTOTAL(9,F96:F102)</f>
        <v>0</v>
      </c>
    </row>
    <row r="104" spans="1:6" ht="6" customHeight="1" x14ac:dyDescent="0.3">
      <c r="A104" s="2"/>
      <c r="B104" s="2"/>
      <c r="C104" s="2"/>
      <c r="D104" s="2"/>
      <c r="E104" s="2"/>
      <c r="F104" s="2"/>
    </row>
    <row r="105" spans="1:6" ht="25.05" customHeight="1" x14ac:dyDescent="0.3">
      <c r="A105" s="18" t="s">
        <v>81</v>
      </c>
      <c r="B105" s="15"/>
      <c r="C105" s="15"/>
      <c r="D105" s="15"/>
      <c r="E105" s="15"/>
      <c r="F105" s="16"/>
    </row>
    <row r="106" spans="1:6" ht="6" customHeight="1" x14ac:dyDescent="0.3">
      <c r="A106" s="2"/>
      <c r="B106" s="2"/>
      <c r="C106" s="2"/>
      <c r="D106" s="2"/>
      <c r="E106" s="2"/>
      <c r="F106" s="2"/>
    </row>
    <row r="107" spans="1:6" ht="25.05" customHeight="1" x14ac:dyDescent="0.3">
      <c r="A107" s="14" t="s">
        <v>82</v>
      </c>
      <c r="B107" s="15"/>
      <c r="C107" s="15"/>
      <c r="D107" s="15"/>
      <c r="E107" s="15"/>
      <c r="F107" s="16"/>
    </row>
    <row r="108" spans="1:6" ht="40.049999999999997" customHeight="1" x14ac:dyDescent="0.3">
      <c r="A108" s="3" t="s">
        <v>83</v>
      </c>
      <c r="B108" s="4" t="s">
        <v>84</v>
      </c>
      <c r="C108" s="5" t="s">
        <v>13</v>
      </c>
      <c r="D108" s="6">
        <v>12.5</v>
      </c>
      <c r="E108" s="6"/>
      <c r="F108" s="6">
        <f>D108*E108</f>
        <v>0</v>
      </c>
    </row>
    <row r="109" spans="1:6" ht="6" customHeight="1" x14ac:dyDescent="0.3">
      <c r="A109" s="2"/>
      <c r="B109" s="2"/>
      <c r="C109" s="2"/>
      <c r="D109" s="2"/>
      <c r="E109" s="2"/>
      <c r="F109" s="2"/>
    </row>
    <row r="110" spans="1:6" ht="40.049999999999997" customHeight="1" x14ac:dyDescent="0.3">
      <c r="A110" s="3" t="s">
        <v>85</v>
      </c>
      <c r="B110" s="4" t="s">
        <v>86</v>
      </c>
      <c r="C110" s="5" t="s">
        <v>13</v>
      </c>
      <c r="D110" s="6">
        <v>22</v>
      </c>
      <c r="E110" s="6"/>
      <c r="F110" s="6">
        <f>D110*E110</f>
        <v>0</v>
      </c>
    </row>
    <row r="111" spans="1:6" ht="6" customHeight="1" x14ac:dyDescent="0.3">
      <c r="A111" s="2"/>
      <c r="B111" s="2"/>
      <c r="C111" s="2"/>
      <c r="D111" s="2"/>
      <c r="E111" s="2"/>
      <c r="F111" s="2"/>
    </row>
    <row r="112" spans="1:6" x14ac:dyDescent="0.3">
      <c r="A112" s="2"/>
      <c r="B112" s="7" t="s">
        <v>31</v>
      </c>
      <c r="C112" s="2"/>
      <c r="D112" s="2"/>
      <c r="E112" s="2"/>
      <c r="F112" s="8">
        <f>SUBTOTAL(9,F104:F111)</f>
        <v>0</v>
      </c>
    </row>
    <row r="113" spans="1:6" ht="6" customHeight="1" x14ac:dyDescent="0.3">
      <c r="A113" s="2"/>
      <c r="B113" s="2"/>
      <c r="C113" s="2"/>
      <c r="D113" s="2"/>
      <c r="E113" s="2"/>
      <c r="F113" s="2"/>
    </row>
    <row r="114" spans="1:6" ht="6" customHeight="1" x14ac:dyDescent="0.3">
      <c r="A114" s="2"/>
      <c r="B114" s="2"/>
      <c r="C114" s="2"/>
      <c r="D114" s="2"/>
      <c r="E114" s="2"/>
      <c r="F114" s="2"/>
    </row>
    <row r="115" spans="1:6" ht="25.05" customHeight="1" x14ac:dyDescent="0.3">
      <c r="A115" s="18" t="s">
        <v>87</v>
      </c>
      <c r="B115" s="15"/>
      <c r="C115" s="15"/>
      <c r="D115" s="15"/>
      <c r="E115" s="15"/>
      <c r="F115" s="16"/>
    </row>
    <row r="116" spans="1:6" ht="6" customHeight="1" x14ac:dyDescent="0.3">
      <c r="A116" s="2"/>
      <c r="B116" s="2"/>
      <c r="C116" s="2"/>
      <c r="D116" s="2"/>
      <c r="E116" s="2"/>
      <c r="F116" s="2"/>
    </row>
    <row r="117" spans="1:6" x14ac:dyDescent="0.3">
      <c r="A117" s="2"/>
      <c r="B117" s="9" t="s">
        <v>9</v>
      </c>
      <c r="C117" s="2"/>
      <c r="D117" s="2"/>
      <c r="E117" s="2"/>
      <c r="F117" s="10">
        <f>F50</f>
        <v>0</v>
      </c>
    </row>
    <row r="118" spans="1:6" x14ac:dyDescent="0.3">
      <c r="A118" s="2"/>
      <c r="B118" s="9" t="s">
        <v>32</v>
      </c>
      <c r="C118" s="2"/>
      <c r="D118" s="2"/>
      <c r="E118" s="2"/>
      <c r="F118" s="10">
        <f>F93</f>
        <v>0</v>
      </c>
    </row>
    <row r="119" spans="1:6" x14ac:dyDescent="0.3">
      <c r="A119" s="2"/>
      <c r="B119" s="9" t="s">
        <v>74</v>
      </c>
      <c r="C119" s="2"/>
      <c r="D119" s="2"/>
      <c r="E119" s="2"/>
      <c r="F119" s="10">
        <f>F101</f>
        <v>0</v>
      </c>
    </row>
    <row r="120" spans="1:6" x14ac:dyDescent="0.3">
      <c r="A120" s="2"/>
      <c r="B120" s="9" t="s">
        <v>81</v>
      </c>
      <c r="C120" s="2"/>
      <c r="D120" s="2"/>
      <c r="E120" s="2"/>
      <c r="F120" s="10">
        <f>F107</f>
        <v>0</v>
      </c>
    </row>
    <row r="121" spans="1:6" ht="6" customHeight="1" x14ac:dyDescent="0.3">
      <c r="A121" s="2"/>
      <c r="B121" s="2"/>
      <c r="C121" s="2"/>
      <c r="D121" s="2"/>
      <c r="E121" s="2"/>
      <c r="F121" s="2"/>
    </row>
    <row r="122" spans="1:6" x14ac:dyDescent="0.3">
      <c r="A122" s="11"/>
      <c r="B122" s="12" t="s">
        <v>88</v>
      </c>
      <c r="C122" s="11"/>
      <c r="D122" s="11"/>
      <c r="E122" s="11"/>
      <c r="F122" s="13">
        <f>SUM(F111:F114)</f>
        <v>0</v>
      </c>
    </row>
    <row r="125" spans="1:6" x14ac:dyDescent="0.3">
      <c r="A125" s="19" t="s">
        <v>89</v>
      </c>
      <c r="B125" s="17"/>
      <c r="C125" s="17"/>
      <c r="D125" s="17"/>
      <c r="E125" s="17"/>
      <c r="F125" s="17"/>
    </row>
    <row r="126" spans="1:6" x14ac:dyDescent="0.3">
      <c r="A126" s="17"/>
      <c r="B126" s="17"/>
      <c r="C126" s="17"/>
      <c r="D126" s="17"/>
      <c r="E126" s="17"/>
      <c r="F126" s="17"/>
    </row>
    <row r="127" spans="1:6" x14ac:dyDescent="0.3">
      <c r="A127" s="17"/>
      <c r="B127" s="17"/>
      <c r="C127" s="17"/>
      <c r="D127" s="17"/>
      <c r="E127" s="17"/>
      <c r="F127" s="17"/>
    </row>
    <row r="128" spans="1:6" x14ac:dyDescent="0.3">
      <c r="A128" s="17"/>
      <c r="B128" s="17"/>
      <c r="C128" s="17"/>
      <c r="D128" s="17"/>
      <c r="E128" s="17"/>
      <c r="F128" s="17"/>
    </row>
    <row r="129" spans="1:6" x14ac:dyDescent="0.3">
      <c r="A129" s="17"/>
      <c r="B129" s="17"/>
      <c r="C129" s="17"/>
      <c r="D129" s="17"/>
      <c r="E129" s="17"/>
      <c r="F129" s="17"/>
    </row>
  </sheetData>
  <mergeCells count="39">
    <mergeCell ref="A6:F6"/>
    <mergeCell ref="A88:F88"/>
    <mergeCell ref="A10:F10"/>
    <mergeCell ref="A115:F115"/>
    <mergeCell ref="A68:F68"/>
    <mergeCell ref="A31:F31"/>
    <mergeCell ref="A34:F34"/>
    <mergeCell ref="A77:F77"/>
    <mergeCell ref="A15:F15"/>
    <mergeCell ref="A24:F24"/>
    <mergeCell ref="A11:F11"/>
    <mergeCell ref="A107:F107"/>
    <mergeCell ref="A61:F61"/>
    <mergeCell ref="A3:F3"/>
    <mergeCell ref="A21:F21"/>
    <mergeCell ref="A95:F95"/>
    <mergeCell ref="A2:F2"/>
    <mergeCell ref="A129:F129"/>
    <mergeCell ref="A14:F14"/>
    <mergeCell ref="A5:F5"/>
    <mergeCell ref="A23:F23"/>
    <mergeCell ref="A126:F126"/>
    <mergeCell ref="A8:F8"/>
    <mergeCell ref="A97:F97"/>
    <mergeCell ref="A17:F17"/>
    <mergeCell ref="A100:F100"/>
    <mergeCell ref="A20:F20"/>
    <mergeCell ref="A29:F29"/>
    <mergeCell ref="A43:F43"/>
    <mergeCell ref="A54:F54"/>
    <mergeCell ref="A128:F128"/>
    <mergeCell ref="A27:F27"/>
    <mergeCell ref="A105:F105"/>
    <mergeCell ref="A12:F12"/>
    <mergeCell ref="A18:F18"/>
    <mergeCell ref="A26:F26"/>
    <mergeCell ref="A125:F125"/>
    <mergeCell ref="A52:F52"/>
    <mergeCell ref="A127:F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2025-12-09T12:05:15Z</dcterms:created>
  <dcterms:modified xsi:type="dcterms:W3CDTF">2025-12-11T12:42:55Z</dcterms:modified>
</cp:coreProperties>
</file>