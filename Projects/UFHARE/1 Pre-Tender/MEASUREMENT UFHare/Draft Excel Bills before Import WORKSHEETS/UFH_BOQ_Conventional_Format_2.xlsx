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1 Pre-Tender\MEASUREMENT UFHare\Draft Excel Bills before Import WORKSHEETS\"/>
    </mc:Choice>
  </mc:AlternateContent>
  <xr:revisionPtr revIDLastSave="0" documentId="8_{8F2F9EB4-2536-46D8-8592-FEADD56F9455}" xr6:coauthVersionLast="47" xr6:coauthVersionMax="47" xr10:uidLastSave="{00000000-0000-0000-0000-000000000000}"/>
  <bookViews>
    <workbookView xWindow="-28920" yWindow="-120" windowWidth="29040" windowHeight="15720" firstSheet="19" activeTab="21" xr2:uid="{00000000-000D-0000-FFFF-FFFF00000000}"/>
  </bookViews>
  <sheets>
    <sheet name="S1B1 PRELIMINARIES" sheetId="1" r:id="rId1"/>
    <sheet name="S2B1 ALTERATIONS &amp; DEMOLITI" sheetId="2" r:id="rId2"/>
    <sheet name="S2B2 FOUNDATIONS" sheetId="3" r:id="rId3"/>
    <sheet name="S2B3 CONCRETE, FORMWORK &amp; R" sheetId="4" r:id="rId4"/>
    <sheet name="S2B4 MASONRY" sheetId="5" r:id="rId5"/>
    <sheet name="S2B5 STRUCTURAL STEELWORK" sheetId="6" r:id="rId6"/>
    <sheet name="S2B6 UNKNOWN" sheetId="7" r:id="rId7"/>
    <sheet name="S2B7 RAINWATER GOODS" sheetId="8" r:id="rId8"/>
    <sheet name="S2B8 UNKNOWN" sheetId="9" r:id="rId9"/>
    <sheet name="S2B9 UNKNOWN" sheetId="10" r:id="rId10"/>
    <sheet name="S2B10 EXTERNAL DOORS" sheetId="11" r:id="rId11"/>
    <sheet name="S2B11 FLOOR FINISHES" sheetId="12" r:id="rId12"/>
    <sheet name="S2B12 WALL FINISHES" sheetId="13" r:id="rId13"/>
    <sheet name="S2B13 UNKNOWN" sheetId="14" r:id="rId14"/>
    <sheet name="S2B14 NEW CEILINGS" sheetId="15" r:id="rId15"/>
    <sheet name="S2B15 INTERNAL DOORS" sheetId="16" r:id="rId16"/>
    <sheet name="S2B16 FIXED JOINERY" sheetId="17" r:id="rId17"/>
    <sheet name="S2B17 IRONMONGERY" sheetId="18" r:id="rId18"/>
    <sheet name="S3B1 PLUMBING &amp; DRAINAGE" sheetId="19" r:id="rId19"/>
    <sheet name="S4B1 ELECTRICAL INSTALLATI" sheetId="20" r:id="rId20"/>
    <sheet name="S5B1 MECHANICAL INSTALLATI" sheetId="21" r:id="rId21"/>
    <sheet name="S6B1 SECTION NO. 7" sheetId="22" r:id="rId22"/>
    <sheet name="S7B1 PROVISIONAL SUMS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2" l="1"/>
  <c r="F4" i="22"/>
  <c r="F17" i="21"/>
  <c r="F12" i="21"/>
  <c r="F11" i="21"/>
  <c r="F10" i="21"/>
  <c r="F8" i="21"/>
  <c r="F7" i="21"/>
  <c r="F6" i="21"/>
  <c r="F5" i="21"/>
  <c r="F18" i="19"/>
  <c r="F17" i="19"/>
  <c r="F15" i="19"/>
  <c r="F14" i="19"/>
  <c r="F13" i="19"/>
  <c r="F11" i="19"/>
  <c r="F10" i="19"/>
  <c r="F9" i="19"/>
  <c r="F7" i="19"/>
  <c r="F6" i="19"/>
  <c r="F5" i="19"/>
  <c r="F21" i="19" s="1"/>
  <c r="F9" i="18"/>
  <c r="F8" i="18"/>
  <c r="F7" i="18"/>
  <c r="F13" i="18" s="1"/>
  <c r="F6" i="18"/>
  <c r="F5" i="18"/>
  <c r="F4" i="18"/>
  <c r="F6" i="17"/>
  <c r="F5" i="17"/>
  <c r="F4" i="17"/>
  <c r="F9" i="16"/>
  <c r="F8" i="16"/>
  <c r="F7" i="16"/>
  <c r="F6" i="16"/>
  <c r="F5" i="16"/>
  <c r="F4" i="16"/>
  <c r="F10" i="16" s="1"/>
  <c r="F7" i="15"/>
  <c r="F5" i="15"/>
  <c r="F8" i="15" s="1"/>
  <c r="F5" i="14"/>
  <c r="F4" i="14"/>
  <c r="F6" i="14" s="1"/>
  <c r="F12" i="13"/>
  <c r="F11" i="13"/>
  <c r="F9" i="13"/>
  <c r="F8" i="13"/>
  <c r="F6" i="13"/>
  <c r="F5" i="13"/>
  <c r="F13" i="13" s="1"/>
  <c r="F13" i="12"/>
  <c r="F12" i="12"/>
  <c r="F11" i="12"/>
  <c r="F9" i="12"/>
  <c r="F7" i="12"/>
  <c r="F5" i="12"/>
  <c r="F14" i="12" s="1"/>
  <c r="F5" i="11"/>
  <c r="F4" i="11"/>
  <c r="F6" i="11" s="1"/>
  <c r="F11" i="10"/>
  <c r="F10" i="10"/>
  <c r="F8" i="10"/>
  <c r="F7" i="10"/>
  <c r="F6" i="10"/>
  <c r="F5" i="10"/>
  <c r="F12" i="10" s="1"/>
  <c r="F7" i="9"/>
  <c r="F6" i="9"/>
  <c r="F5" i="9"/>
  <c r="F4" i="9"/>
  <c r="F8" i="9" s="1"/>
  <c r="F9" i="8"/>
  <c r="F8" i="8"/>
  <c r="F6" i="8"/>
  <c r="F10" i="8" s="1"/>
  <c r="F5" i="8"/>
  <c r="F11" i="7"/>
  <c r="F10" i="7"/>
  <c r="F9" i="7"/>
  <c r="F7" i="7"/>
  <c r="F6" i="7"/>
  <c r="F5" i="7"/>
  <c r="F6" i="6"/>
  <c r="F5" i="6"/>
  <c r="F7" i="6" s="1"/>
  <c r="F4" i="6"/>
  <c r="F9" i="5"/>
  <c r="F8" i="5"/>
  <c r="F6" i="5"/>
  <c r="F5" i="5"/>
  <c r="F10" i="5" s="1"/>
  <c r="F10" i="4"/>
  <c r="F8" i="4"/>
  <c r="F6" i="4"/>
  <c r="F5" i="4"/>
  <c r="F11" i="4" s="1"/>
  <c r="F12" i="3"/>
  <c r="F10" i="3"/>
  <c r="F8" i="3"/>
  <c r="F7" i="3"/>
  <c r="F5" i="3"/>
  <c r="F13" i="3" s="1"/>
  <c r="F23" i="2"/>
  <c r="F19" i="2"/>
  <c r="F18" i="2"/>
  <c r="F17" i="2"/>
  <c r="F15" i="2"/>
  <c r="F13" i="2"/>
  <c r="F11" i="2"/>
  <c r="F10" i="2"/>
  <c r="F9" i="2"/>
  <c r="F7" i="2"/>
</calcChain>
</file>

<file path=xl/sharedStrings.xml><?xml version="1.0" encoding="utf-8"?>
<sst xmlns="http://schemas.openxmlformats.org/spreadsheetml/2006/main" count="467" uniqueCount="208">
  <si>
    <t>Item</t>
  </si>
  <si>
    <t>Description</t>
  </si>
  <si>
    <t>Unit</t>
  </si>
  <si>
    <t>Quantity</t>
  </si>
  <si>
    <t>Rate</t>
  </si>
  <si>
    <t>Amount</t>
  </si>
  <si>
    <t>BILL NO. 1</t>
  </si>
  <si>
    <t>PRELIMINARIES</t>
  </si>
  <si>
    <t>SECTION NO. 2</t>
  </si>
  <si>
    <t>BUILDINGS</t>
  </si>
  <si>
    <t>ALTERATIONS &amp; DEMOLITI</t>
  </si>
  <si>
    <t>Demolition Of Walls</t>
  </si>
  <si>
    <t>Preliminaries (Moved From Bill 1 - For Review)</t>
  </si>
  <si>
    <t>Site establishment including temporary site offices, storage facilities, ablutions, security, water and electricity connections, maintained for duration of contract</t>
  </si>
  <si>
    <t>Sum</t>
  </si>
  <si>
    <t>Temporary hoardings and barriers around work areas to protect and ensure safety, including signage and access control measures</t>
  </si>
  <si>
    <t>m</t>
  </si>
  <si>
    <t>Final comprehensive cleaning on completion including washing all windows, cleaning floors and walls, removal of all contractor's equipment, materials and rubbish before handover</t>
  </si>
  <si>
    <t>Internal scaffolding for works at height, maximum 3m above floor level, erected, maintained and dismantled as required for safe execution of works</t>
  </si>
  <si>
    <t>m2</t>
  </si>
  <si>
    <t>Break out 230mm (one brick) brick walls including cartaway of all rubble to approved dump</t>
  </si>
  <si>
    <t>Remove plasterboard partitions including metal studs, tracks, and noggins, cart away to dump</t>
  </si>
  <si>
    <t>Removal Of Doors And Windows</t>
  </si>
  <si>
    <t>Remove existing timber doors complete with frames and architraves, cart away from site</t>
  </si>
  <si>
    <t>No</t>
  </si>
  <si>
    <t>REMOVAL OF SANITARY FITTINGS</t>
  </si>
  <si>
    <t>Remove existing sanitary fittings (WCs, wash basins) including disconnection of water and waste services, cart away</t>
  </si>
  <si>
    <t>Floor And Wall Finishes</t>
  </si>
  <si>
    <t>Break out existing ceramic floor tiles including underlying screed, cart away</t>
  </si>
  <si>
    <t>Hack off existing wall plaster where new finishes are required, make good edges, cart away</t>
  </si>
  <si>
    <t>Remove existing suspended ceiling tiles and grid system where new ceilings required, cart away</t>
  </si>
  <si>
    <t>Making Good After Demolitions</t>
  </si>
  <si>
    <t>Make good all openings, chases, holes, and penetrations in walls, floors, and ceilings to match existing surrounding finishes</t>
  </si>
  <si>
    <t>Make good external openings where windows or doors removed, including proper weatherproofing and sealing</t>
  </si>
  <si>
    <t>TOTAL CARRIED TO SUMMARY</t>
  </si>
  <si>
    <t>BILL NO. 2</t>
  </si>
  <si>
    <t>FOUNDATIONS</t>
  </si>
  <si>
    <t>EXCAVATIONS</t>
  </si>
  <si>
    <t>Excavate for concrete bench seating foundations, depth not exceeding 0.80m, cart away surplus, compact bottom</t>
  </si>
  <si>
    <t>m3</t>
  </si>
  <si>
    <t>CONCRETE WORK</t>
  </si>
  <si>
    <t>Mass concrete Grade 25MPa in 150mm thick strip footings for bench seating, vibrated and cured</t>
  </si>
  <si>
    <t>Reinforced concrete Grade 30MPa in bench canopy slab and beam, 150mm thick, reinforcement measured separately</t>
  </si>
  <si>
    <t>BRICKWORK</t>
  </si>
  <si>
    <t>230mm (one brick) dwarf walls in common bricks, Class II mortar, below ground for bench seating support, height not exceeding 0.50m</t>
  </si>
  <si>
    <t>Dampproof Courses</t>
  </si>
  <si>
    <t>300mm wide bituminous damp-proof course on dwarf walls, lapped 150mm at joints</t>
  </si>
  <si>
    <t>BILL NO. 3</t>
  </si>
  <si>
    <t>CONCRETE, FORMWORK &amp; R</t>
  </si>
  <si>
    <t>CONCRETE</t>
  </si>
  <si>
    <t>Reinforced concrete Grade 30MPa in bench seating with upstand, 150mm thick average, smooth float finish, fall 1:100</t>
  </si>
  <si>
    <t>12mm cement plaster smooth finish to all vertical and horizontal concrete surfaces of bench seating</t>
  </si>
  <si>
    <t>FORMWORK</t>
  </si>
  <si>
    <t>Formwork to sides of bench seating, height not exceeding 1.00m, fair face finish</t>
  </si>
  <si>
    <t>REINFORCEMENT</t>
  </si>
  <si>
    <t>High tensile deformed steel reinforcement bars Grade 450MPa, Y10 diameter in bench seating</t>
  </si>
  <si>
    <t>kg</t>
  </si>
  <si>
    <t>BILL NO. 4</t>
  </si>
  <si>
    <t>MASONRY</t>
  </si>
  <si>
    <t>BRICKWORK - SUPERSTRUCTURE</t>
  </si>
  <si>
    <t>114mm (half brick) walls in NFX bricks, Class II mortar, height exceeding 3.00m, in Strong Rooms and partitions</t>
  </si>
  <si>
    <t>230mm (one brick) walls in NFX bricks, Class II mortar, Strong Room security walls</t>
  </si>
  <si>
    <t>Lintels</t>
  </si>
  <si>
    <t>Precast concrete lintels 100 x 150mm over openings, various lengths</t>
  </si>
  <si>
    <t>Galvanised steel lintels for wide openings as detailed</t>
  </si>
  <si>
    <t>BILL NO. 5</t>
  </si>
  <si>
    <t>STRUCTURAL STEELWORK</t>
  </si>
  <si>
    <t>Galvanised mild steel RHS 100 x 100 x 5mm posts for clerestory structure, 2.5m high average, bolted to beams</t>
  </si>
  <si>
    <t>Galvanised steel baseplates 180 x 180 x 6mm, bolted to structure</t>
  </si>
  <si>
    <t>Treated SA Pine eaves beams 76 x 228mm supporting clerestory structure</t>
  </si>
  <si>
    <t>BILL NO. 6</t>
  </si>
  <si>
    <t>Roofing</t>
  </si>
  <si>
    <t>Roof Coverings</t>
  </si>
  <si>
    <t>BMI Coverland 420 x 330mm Elite concrete roof tiles, Slate Grey, fixed to battens with clips</t>
  </si>
  <si>
    <t>Waterproof breathable membrane underlay with minimum 150mm laps</t>
  </si>
  <si>
    <t>38 x 38mm treated SA Pine battens at 345mm centres, nailed to structure</t>
  </si>
  <si>
    <t>Ridges And Hips</t>
  </si>
  <si>
    <t>BMI Coverland ridge tiles matching roof tiles, bedded and pointed</t>
  </si>
  <si>
    <t>BMI Coverland hip tiles matching roof tiles, bedded and pointed</t>
  </si>
  <si>
    <t>BILL NO. 7</t>
  </si>
  <si>
    <t>RAINWATER GOODS</t>
  </si>
  <si>
    <t>GUTTERS</t>
  </si>
  <si>
    <t>Seamless aluminium gutters 125 x 125 x 0.9mm, ColourTech G4 coating, including brackets at 600mm centres</t>
  </si>
  <si>
    <t>Gutter fittings including stop ends, internal and external angles</t>
  </si>
  <si>
    <t>DOWNPIPES</t>
  </si>
  <si>
    <t>Aluminium downpipes matching gutters, including brackets at 1.2m centres</t>
  </si>
  <si>
    <t>Downpipe bends, offsets and shoes</t>
  </si>
  <si>
    <t>BILL NO. 8</t>
  </si>
  <si>
    <t>Cladding</t>
  </si>
  <si>
    <t>Nu-Tec Claddit 6mm cladding to clerestory vertical faces, painted</t>
  </si>
  <si>
    <t>Aluminium C-channel cladding to galvanised steel posts, both faces</t>
  </si>
  <si>
    <t>38 x 38mm timber brandering for cladding support</t>
  </si>
  <si>
    <t>Purpose bent aluminium cills to clerestory windows</t>
  </si>
  <si>
    <t>BILL NO. 9</t>
  </si>
  <si>
    <t>Windows</t>
  </si>
  <si>
    <t>Clerestory Windows</t>
  </si>
  <si>
    <t>Type SF01 - Aluminium framed glazed windows, powdercoated, complete with 6mm toughened glass</t>
  </si>
  <si>
    <t>Type SF02 - Aluminium framed glazed windows, powdercoated, complete with 6mm toughened glass</t>
  </si>
  <si>
    <t>Type SF03 - Aluminium framed glazed windows, powdercoated, complete with 6mm toughened glass</t>
  </si>
  <si>
    <t>Type SF04 - Solid aluminium panels (not glazed)</t>
  </si>
  <si>
    <t>Ground Floor Windows</t>
  </si>
  <si>
    <t>Aluminium windows 1800 x 1500mm for office areas, powdercoated, glazed</t>
  </si>
  <si>
    <t>Aluminium window 1200 x 1200mm for Boardroom, powdercoated, glazed</t>
  </si>
  <si>
    <t>BILL NO. 10</t>
  </si>
  <si>
    <t>EXTERNAL DOORS</t>
  </si>
  <si>
    <t>Aluminium framed glazed entrance door 2100 x 1200mm with panic hardware and closer</t>
  </si>
  <si>
    <t>Steel fire door 2100 x 900mm, FD30 rated, with panic bar and closer</t>
  </si>
  <si>
    <t>BILL NO. 11</t>
  </si>
  <si>
    <t>FLOOR FINISHES</t>
  </si>
  <si>
    <t>Timber Flooring</t>
  </si>
  <si>
    <t>Existing timber floors sanded and refinished by specialist, including sealing</t>
  </si>
  <si>
    <t>CERAMIC FLOOR TILES - INTERIOR</t>
  </si>
  <si>
    <t>600 x 600mm ceramic floor tiles including TAL GOLDFLEX adhesive, TAL WALL and FLOOR GROUT mixed with TAL BOND</t>
  </si>
  <si>
    <t>CERAMIC FLOOR TILES - EXTERIOR</t>
  </si>
  <si>
    <t>600 x 600mm ceramic floor tiles to Veranda, TAL GOLDFLEX adhesive, grouted</t>
  </si>
  <si>
    <t>Accessories</t>
  </si>
  <si>
    <t>MTrim Aluminium Transition Cover 29mm×8mm at tile junctions</t>
  </si>
  <si>
    <t>MTrim Aluminium Movement Joints 10mm height</t>
  </si>
  <si>
    <t>10 x 10mm Polyurethane sealant between tiles and walls</t>
  </si>
  <si>
    <t>BILL NO. 12</t>
  </si>
  <si>
    <t>WALL FINISHES</t>
  </si>
  <si>
    <t>PLASTER</t>
  </si>
  <si>
    <t>15mm two coat cement plaster to new brick walls</t>
  </si>
  <si>
    <t>Make good existing plaster where disturbed, patch and repair to match</t>
  </si>
  <si>
    <t>WALL TILES</t>
  </si>
  <si>
    <t>Ceramic wall tiles to WCs full height 2.1m, Tal Professional adhesive, Tal Fine Epoxy grout ≤3mm</t>
  </si>
  <si>
    <t>Aluminium straight edge trim to exposed tile edges</t>
  </si>
  <si>
    <t>PAINTING</t>
  </si>
  <si>
    <t>DULUX Trade Alkali Resistant Primer (1 coat) + DULUX Trade 100 Low Sheen (2 coats) to new walls</t>
  </si>
  <si>
    <t>DULUX Trade Alkali Resistant Primer (patching) + DULUX Trade 100 Low Sheen (2 coats) to existing walls</t>
  </si>
  <si>
    <t>BILL NO. 13</t>
  </si>
  <si>
    <t>Skirtings</t>
  </si>
  <si>
    <t>Capco Gamma Base Reveal 75 drywall trim skirting, concealed fixed</t>
  </si>
  <si>
    <t>Capco Gamma Section 76 flat skirting, concealed fixed</t>
  </si>
  <si>
    <t>BILL NO. 14</t>
  </si>
  <si>
    <t>Ceilings</t>
  </si>
  <si>
    <t>NEW CEILINGS</t>
  </si>
  <si>
    <t>Nutec Claddit ceiling boards on suspended grid system including hangers</t>
  </si>
  <si>
    <t>EXISTING CEILINGS</t>
  </si>
  <si>
    <t>Patch and make good existing ceilings where disturbed</t>
  </si>
  <si>
    <t>BILL NO. 15</t>
  </si>
  <si>
    <t>INTERNAL DOORS</t>
  </si>
  <si>
    <t>Solid core timber doors 44mm thick, 2100 x 900mm for offices, complete with hardwood frame and architraves</t>
  </si>
  <si>
    <t>Solid core timber doors 44mm thick, 2100 x 800mm for WCs and stores, complete with hardwood frame</t>
  </si>
  <si>
    <t>Hollow core timber doors 2100 x 800mm for cupboards</t>
  </si>
  <si>
    <t>Aluminium framed glazed doors 2100 x 900mm for Boardroom</t>
  </si>
  <si>
    <t>Fire doors FD30 rated 2100 x 900mm for Strong Rooms and fire escape</t>
  </si>
  <si>
    <t>Steel security doors 2100 x 900mm for Strong Rooms</t>
  </si>
  <si>
    <t>BILL NO. 16</t>
  </si>
  <si>
    <t>FIXED JOINERY</t>
  </si>
  <si>
    <t>JT01 Security Desk 1935 x 785/1150 x 1100mm with Melawood carcass, PVC laminate doors, EeziQuartz countertops, complete with hardware</t>
  </si>
  <si>
    <t>JT02 Kitchenette 2330 x 650 x 1000mm with Melawood carcass, 5 drawers, cupboards, EeziQuartz tops and splashback, stainless steel sink and mixer</t>
  </si>
  <si>
    <t>BILL NO. 17</t>
  </si>
  <si>
    <t>IRONMONGERY</t>
  </si>
  <si>
    <t>Satin stainless steel lever handle sets</t>
  </si>
  <si>
    <t>Cylinder locks keyed alike system</t>
  </si>
  <si>
    <t>High security locks for Strong Rooms</t>
  </si>
  <si>
    <t>Panic hardware for fire escapes</t>
  </si>
  <si>
    <t>Overhead door closers</t>
  </si>
  <si>
    <t>100 x 75mm brass hinges (3 per door)</t>
  </si>
  <si>
    <t>Pair</t>
  </si>
  <si>
    <t>WC accessories (toilet roll holders, dispensers, grab rails, mirrors)</t>
  </si>
  <si>
    <t>SECTION NO. 3</t>
  </si>
  <si>
    <t>PLUMBING &amp; DRAINAGE</t>
  </si>
  <si>
    <t>SANITARY FITTINGS</t>
  </si>
  <si>
    <t>Wall-hung WC suites with concealed cisterns, complete</t>
  </si>
  <si>
    <t>Wall-hung wash hand basins with mixer taps</t>
  </si>
  <si>
    <t>Stainless steel single bowl sink with mixer tap</t>
  </si>
  <si>
    <t>HOT AND COLD WATER</t>
  </si>
  <si>
    <t>15mm copper pipe Type B including fittings and supports</t>
  </si>
  <si>
    <t>22mm copper pipe Type B including fittings and supports</t>
  </si>
  <si>
    <t>150L electric geyser with mounting bracket and drip tray</t>
  </si>
  <si>
    <t>SOIL AND WASTE</t>
  </si>
  <si>
    <t>110mm uPVC soil pipes Class 34 including fittings</t>
  </si>
  <si>
    <t>50mm uPVC waste pipes including fittings</t>
  </si>
  <si>
    <t>100mm diameter floor drains</t>
  </si>
  <si>
    <t>Additional Drainage</t>
  </si>
  <si>
    <t>110mm uPVC sewer pipe connections to existing manhole</t>
  </si>
  <si>
    <t>Rodding eyes with brass caps</t>
  </si>
  <si>
    <t>SECTION NO. 4</t>
  </si>
  <si>
    <t>ELECTRICAL INSTALLATION</t>
  </si>
  <si>
    <t>ELECTRICAL INSTALLATI</t>
  </si>
  <si>
    <t>PROVISIONAL SUM for complete electrical installation including DB upgrades, LED lighting, sockets, data points, fire detection, conduits and cables as per Engineer's design</t>
  </si>
  <si>
    <t>SECTION NO. 5</t>
  </si>
  <si>
    <t>MECHANICAL INSTALLATION</t>
  </si>
  <si>
    <t>MECHANICAL INSTALLATI</t>
  </si>
  <si>
    <t>VRF AIR CONDITIONING</t>
  </si>
  <si>
    <t>Midea VRF outdoor units, 2 No. at 28kW each, total 56kW capacity, complete with mounting</t>
  </si>
  <si>
    <t>Midea VRF indoor wall-mounted units, various capacities 1.5kW to 10kW as scheduled</t>
  </si>
  <si>
    <t>Refrigerant piping insulated copper including fittings</t>
  </si>
  <si>
    <t>20mm uPVC condensate drainage piping</t>
  </si>
  <si>
    <t>VENTILATION</t>
  </si>
  <si>
    <t>Extract fans 150mm diameter, 60 L/s for WCs</t>
  </si>
  <si>
    <t>Extract fan 200mm diameter, 90 L/s for Kitchenette</t>
  </si>
  <si>
    <t>Galvanised ductwork including fittings</t>
  </si>
  <si>
    <t>COMMISSIONING</t>
  </si>
  <si>
    <t>Testing, commissioning and performance verification of complete HVAC system</t>
  </si>
  <si>
    <t>SECTION NO. 6</t>
  </si>
  <si>
    <t>SUNDRIES</t>
  </si>
  <si>
    <t>Sundries</t>
  </si>
  <si>
    <t>Galvanised steel frame with bent composite aluminium panel duct screen access gates, smooth plaster finish</t>
  </si>
  <si>
    <t>Builder's work in connection with services including chases, holes, fire stopping, making good</t>
  </si>
  <si>
    <t>SECTION NO. 7</t>
  </si>
  <si>
    <t>PROVISIONAL SUMS</t>
  </si>
  <si>
    <t>PC Sum for supply of floor tiles (laying measured separately)</t>
  </si>
  <si>
    <t>PC Sum for supply of wall tiles (laying measured separately)</t>
  </si>
  <si>
    <t>PC Sum for supply of sanitary ware (installation measured separately)</t>
  </si>
  <si>
    <t>Contingency allowance (10%) for unforeseen works and variations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</si>
</sst>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u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9"/>
    </row>
    <row r="3" spans="1:6" x14ac:dyDescent="0.3">
      <c r="A3" s="8" t="s">
        <v>7</v>
      </c>
      <c r="B3" s="9"/>
      <c r="C3" s="9"/>
      <c r="D3" s="9"/>
      <c r="E3" s="9"/>
      <c r="F3" s="9"/>
    </row>
    <row r="4" spans="1:6" x14ac:dyDescent="0.3">
      <c r="A4" s="8" t="s">
        <v>8</v>
      </c>
      <c r="B4" s="9"/>
      <c r="C4" s="9"/>
      <c r="D4" s="9"/>
      <c r="E4" s="9"/>
      <c r="F4" s="9"/>
    </row>
    <row r="5" spans="1:6" x14ac:dyDescent="0.3">
      <c r="A5" s="8" t="s">
        <v>9</v>
      </c>
      <c r="B5" s="9"/>
      <c r="C5" s="9"/>
      <c r="D5" s="9"/>
      <c r="E5" s="9"/>
      <c r="F5" s="9"/>
    </row>
  </sheetData>
  <mergeCells count="4">
    <mergeCell ref="A3:F3"/>
    <mergeCell ref="A2:F2"/>
    <mergeCell ref="A5:F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9"/>
    </row>
    <row r="3" spans="1:6" x14ac:dyDescent="0.3">
      <c r="A3" s="8" t="s">
        <v>10</v>
      </c>
      <c r="B3" s="9"/>
      <c r="C3" s="9"/>
      <c r="D3" s="9"/>
      <c r="E3" s="9"/>
      <c r="F3" s="9"/>
    </row>
    <row r="4" spans="1:6" x14ac:dyDescent="0.3">
      <c r="A4" s="10" t="s">
        <v>11</v>
      </c>
      <c r="B4" s="9"/>
      <c r="C4" s="9"/>
      <c r="D4" s="9"/>
      <c r="E4" s="9"/>
      <c r="F4" s="9"/>
    </row>
    <row r="5" spans="1:6" x14ac:dyDescent="0.3">
      <c r="A5" s="10" t="s">
        <v>12</v>
      </c>
      <c r="B5" s="9"/>
      <c r="C5" s="9"/>
      <c r="D5" s="9"/>
      <c r="E5" s="9"/>
      <c r="F5" s="9"/>
    </row>
    <row r="6" spans="1:6" ht="28.8" x14ac:dyDescent="0.3">
      <c r="A6" s="2">
        <v>1</v>
      </c>
      <c r="B6" s="3" t="s">
        <v>13</v>
      </c>
      <c r="C6" s="4" t="s">
        <v>14</v>
      </c>
      <c r="D6" s="5"/>
      <c r="E6" s="6"/>
      <c r="F6" s="5"/>
    </row>
    <row r="7" spans="1:6" ht="28.8" x14ac:dyDescent="0.3">
      <c r="A7" s="2">
        <v>2</v>
      </c>
      <c r="B7" s="3" t="s">
        <v>15</v>
      </c>
      <c r="C7" s="4" t="s">
        <v>16</v>
      </c>
      <c r="D7" s="6">
        <v>45</v>
      </c>
      <c r="E7" s="6"/>
      <c r="F7" s="6">
        <f>D7*E7</f>
        <v>0</v>
      </c>
    </row>
    <row r="8" spans="1:6" ht="28.8" x14ac:dyDescent="0.3">
      <c r="A8" s="2">
        <v>3</v>
      </c>
      <c r="B8" s="3" t="s">
        <v>17</v>
      </c>
      <c r="C8" s="4" t="s">
        <v>14</v>
      </c>
      <c r="D8" s="5"/>
      <c r="E8" s="6"/>
      <c r="F8" s="5"/>
    </row>
    <row r="9" spans="1:6" ht="28.8" x14ac:dyDescent="0.3">
      <c r="A9" s="2">
        <v>4</v>
      </c>
      <c r="B9" s="3" t="s">
        <v>18</v>
      </c>
      <c r="C9" s="4" t="s">
        <v>19</v>
      </c>
      <c r="D9" s="6">
        <v>85</v>
      </c>
      <c r="E9" s="6"/>
      <c r="F9" s="6">
        <f>D9*E9</f>
        <v>0</v>
      </c>
    </row>
    <row r="10" spans="1:6" x14ac:dyDescent="0.3">
      <c r="A10" s="2">
        <v>5</v>
      </c>
      <c r="B10" s="3" t="s">
        <v>20</v>
      </c>
      <c r="C10" s="4" t="s">
        <v>19</v>
      </c>
      <c r="D10" s="6">
        <v>42</v>
      </c>
      <c r="E10" s="6"/>
      <c r="F10" s="6">
        <f>D10*E10</f>
        <v>0</v>
      </c>
    </row>
    <row r="11" spans="1:6" x14ac:dyDescent="0.3">
      <c r="A11" s="2">
        <v>6</v>
      </c>
      <c r="B11" s="3" t="s">
        <v>21</v>
      </c>
      <c r="C11" s="4" t="s">
        <v>19</v>
      </c>
      <c r="D11" s="6">
        <v>65</v>
      </c>
      <c r="E11" s="6"/>
      <c r="F11" s="6">
        <f>D11*E11</f>
        <v>0</v>
      </c>
    </row>
    <row r="12" spans="1:6" x14ac:dyDescent="0.3">
      <c r="A12" s="10" t="s">
        <v>22</v>
      </c>
      <c r="B12" s="9"/>
      <c r="C12" s="9"/>
      <c r="D12" s="9"/>
      <c r="E12" s="9"/>
      <c r="F12" s="9"/>
    </row>
    <row r="13" spans="1:6" x14ac:dyDescent="0.3">
      <c r="A13" s="2">
        <v>7</v>
      </c>
      <c r="B13" s="3" t="s">
        <v>23</v>
      </c>
      <c r="C13" s="4" t="s">
        <v>24</v>
      </c>
      <c r="D13" s="6">
        <v>15</v>
      </c>
      <c r="E13" s="6"/>
      <c r="F13" s="6">
        <f>D13*E13</f>
        <v>0</v>
      </c>
    </row>
    <row r="14" spans="1:6" x14ac:dyDescent="0.3">
      <c r="A14" s="8" t="s">
        <v>25</v>
      </c>
      <c r="B14" s="9"/>
      <c r="C14" s="9"/>
      <c r="D14" s="9"/>
      <c r="E14" s="9"/>
      <c r="F14" s="9"/>
    </row>
    <row r="15" spans="1:6" ht="28.8" x14ac:dyDescent="0.3">
      <c r="A15" s="2">
        <v>8</v>
      </c>
      <c r="B15" s="3" t="s">
        <v>26</v>
      </c>
      <c r="C15" s="4" t="s">
        <v>24</v>
      </c>
      <c r="D15" s="6">
        <v>6</v>
      </c>
      <c r="E15" s="6"/>
      <c r="F15" s="6">
        <f>D15*E15</f>
        <v>0</v>
      </c>
    </row>
    <row r="16" spans="1:6" x14ac:dyDescent="0.3">
      <c r="A16" s="10" t="s">
        <v>27</v>
      </c>
      <c r="B16" s="9"/>
      <c r="C16" s="9"/>
      <c r="D16" s="9"/>
      <c r="E16" s="9"/>
      <c r="F16" s="9"/>
    </row>
    <row r="17" spans="1:6" x14ac:dyDescent="0.3">
      <c r="A17" s="2">
        <v>9</v>
      </c>
      <c r="B17" s="3" t="s">
        <v>28</v>
      </c>
      <c r="C17" s="4" t="s">
        <v>19</v>
      </c>
      <c r="D17" s="6">
        <v>85</v>
      </c>
      <c r="E17" s="6"/>
      <c r="F17" s="6">
        <f>D17*E17</f>
        <v>0</v>
      </c>
    </row>
    <row r="18" spans="1:6" x14ac:dyDescent="0.3">
      <c r="A18" s="2">
        <v>10</v>
      </c>
      <c r="B18" s="3" t="s">
        <v>29</v>
      </c>
      <c r="C18" s="4" t="s">
        <v>19</v>
      </c>
      <c r="D18" s="6">
        <v>320</v>
      </c>
      <c r="E18" s="6"/>
      <c r="F18" s="6">
        <f>D18*E18</f>
        <v>0</v>
      </c>
    </row>
    <row r="19" spans="1:6" x14ac:dyDescent="0.3">
      <c r="A19" s="2">
        <v>11</v>
      </c>
      <c r="B19" s="3" t="s">
        <v>30</v>
      </c>
      <c r="C19" s="4" t="s">
        <v>19</v>
      </c>
      <c r="D19" s="6">
        <v>45</v>
      </c>
      <c r="E19" s="6"/>
      <c r="F19" s="6">
        <f>D19*E19</f>
        <v>0</v>
      </c>
    </row>
    <row r="20" spans="1:6" x14ac:dyDescent="0.3">
      <c r="A20" s="10" t="s">
        <v>31</v>
      </c>
      <c r="B20" s="9"/>
      <c r="C20" s="9"/>
      <c r="D20" s="9"/>
      <c r="E20" s="9"/>
      <c r="F20" s="9"/>
    </row>
    <row r="21" spans="1:6" ht="28.8" x14ac:dyDescent="0.3">
      <c r="A21" s="2">
        <v>12</v>
      </c>
      <c r="B21" s="3" t="s">
        <v>32</v>
      </c>
      <c r="C21" s="4" t="s">
        <v>14</v>
      </c>
      <c r="D21" s="5"/>
      <c r="E21" s="6"/>
      <c r="F21" s="5"/>
    </row>
    <row r="22" spans="1:6" ht="28.8" x14ac:dyDescent="0.3">
      <c r="A22" s="2">
        <v>13</v>
      </c>
      <c r="B22" s="3" t="s">
        <v>33</v>
      </c>
      <c r="C22" s="4" t="s">
        <v>14</v>
      </c>
      <c r="D22" s="5"/>
      <c r="E22" s="6"/>
      <c r="F22" s="5"/>
    </row>
    <row r="23" spans="1:6" x14ac:dyDescent="0.3">
      <c r="A23" s="11" t="s">
        <v>34</v>
      </c>
      <c r="B23" s="9"/>
      <c r="C23" s="9"/>
      <c r="D23" s="9"/>
      <c r="E23" s="9"/>
      <c r="F23" s="7">
        <f>SUM(F7:F19)</f>
        <v>0</v>
      </c>
    </row>
  </sheetData>
  <mergeCells count="9">
    <mergeCell ref="A2:F2"/>
    <mergeCell ref="A16:F16"/>
    <mergeCell ref="A14:F14"/>
    <mergeCell ref="A5:F5"/>
    <mergeCell ref="A23:E23"/>
    <mergeCell ref="A12:F12"/>
    <mergeCell ref="A4:F4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35</v>
      </c>
      <c r="B2" s="9"/>
      <c r="C2" s="9"/>
      <c r="D2" s="9"/>
      <c r="E2" s="9"/>
      <c r="F2" s="9"/>
    </row>
    <row r="3" spans="1:6" x14ac:dyDescent="0.3">
      <c r="A3" s="8" t="s">
        <v>36</v>
      </c>
      <c r="B3" s="9"/>
      <c r="C3" s="9"/>
      <c r="D3" s="9"/>
      <c r="E3" s="9"/>
      <c r="F3" s="9"/>
    </row>
    <row r="4" spans="1:6" x14ac:dyDescent="0.3">
      <c r="A4" s="8" t="s">
        <v>37</v>
      </c>
      <c r="B4" s="9"/>
      <c r="C4" s="9"/>
      <c r="D4" s="9"/>
      <c r="E4" s="9"/>
      <c r="F4" s="9"/>
    </row>
    <row r="5" spans="1:6" ht="28.8" x14ac:dyDescent="0.3">
      <c r="A5" s="2">
        <v>1</v>
      </c>
      <c r="B5" s="3" t="s">
        <v>38</v>
      </c>
      <c r="C5" s="4" t="s">
        <v>39</v>
      </c>
      <c r="D5" s="6">
        <v>5.4</v>
      </c>
      <c r="E5" s="6"/>
      <c r="F5" s="6">
        <f>D5*E5</f>
        <v>0</v>
      </c>
    </row>
    <row r="6" spans="1:6" x14ac:dyDescent="0.3">
      <c r="A6" s="8" t="s">
        <v>40</v>
      </c>
      <c r="B6" s="9"/>
      <c r="C6" s="9"/>
      <c r="D6" s="9"/>
      <c r="E6" s="9"/>
      <c r="F6" s="9"/>
    </row>
    <row r="7" spans="1:6" ht="28.8" x14ac:dyDescent="0.3">
      <c r="A7" s="2">
        <v>2</v>
      </c>
      <c r="B7" s="3" t="s">
        <v>41</v>
      </c>
      <c r="C7" s="4" t="s">
        <v>39</v>
      </c>
      <c r="D7" s="6">
        <v>1.62</v>
      </c>
      <c r="E7" s="6"/>
      <c r="F7" s="6">
        <f>D7*E7</f>
        <v>0</v>
      </c>
    </row>
    <row r="8" spans="1:6" ht="28.8" x14ac:dyDescent="0.3">
      <c r="A8" s="2">
        <v>3</v>
      </c>
      <c r="B8" s="3" t="s">
        <v>42</v>
      </c>
      <c r="C8" s="4" t="s">
        <v>39</v>
      </c>
      <c r="D8" s="6">
        <v>0.23</v>
      </c>
      <c r="E8" s="6"/>
      <c r="F8" s="6">
        <f>D8*E8</f>
        <v>0</v>
      </c>
    </row>
    <row r="9" spans="1:6" x14ac:dyDescent="0.3">
      <c r="A9" s="8" t="s">
        <v>43</v>
      </c>
      <c r="B9" s="9"/>
      <c r="C9" s="9"/>
      <c r="D9" s="9"/>
      <c r="E9" s="9"/>
      <c r="F9" s="9"/>
    </row>
    <row r="10" spans="1:6" ht="28.8" x14ac:dyDescent="0.3">
      <c r="A10" s="2">
        <v>4</v>
      </c>
      <c r="B10" s="3" t="s">
        <v>44</v>
      </c>
      <c r="C10" s="4" t="s">
        <v>19</v>
      </c>
      <c r="D10" s="6">
        <v>8.1</v>
      </c>
      <c r="E10" s="6"/>
      <c r="F10" s="6">
        <f>D10*E10</f>
        <v>0</v>
      </c>
    </row>
    <row r="11" spans="1:6" x14ac:dyDescent="0.3">
      <c r="A11" s="10" t="s">
        <v>45</v>
      </c>
      <c r="B11" s="9"/>
      <c r="C11" s="9"/>
      <c r="D11" s="9"/>
      <c r="E11" s="9"/>
      <c r="F11" s="9"/>
    </row>
    <row r="12" spans="1:6" x14ac:dyDescent="0.3">
      <c r="A12" s="2">
        <v>5</v>
      </c>
      <c r="B12" s="3" t="s">
        <v>46</v>
      </c>
      <c r="C12" s="4" t="s">
        <v>16</v>
      </c>
      <c r="D12" s="6">
        <v>18</v>
      </c>
      <c r="E12" s="6"/>
      <c r="F12" s="6">
        <f>D12*E12</f>
        <v>0</v>
      </c>
    </row>
    <row r="13" spans="1:6" x14ac:dyDescent="0.3">
      <c r="A13" s="11" t="s">
        <v>34</v>
      </c>
      <c r="B13" s="9"/>
      <c r="C13" s="9"/>
      <c r="D13" s="9"/>
      <c r="E13" s="9"/>
      <c r="F13" s="7">
        <f>SUM(F5:F12)</f>
        <v>0</v>
      </c>
    </row>
  </sheetData>
  <mergeCells count="7">
    <mergeCell ref="A13:E13"/>
    <mergeCell ref="A3:F3"/>
    <mergeCell ref="A2:F2"/>
    <mergeCell ref="A11:F11"/>
    <mergeCell ref="A9:F9"/>
    <mergeCell ref="A6:F6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47</v>
      </c>
      <c r="B2" s="9"/>
      <c r="C2" s="9"/>
      <c r="D2" s="9"/>
      <c r="E2" s="9"/>
      <c r="F2" s="9"/>
    </row>
    <row r="3" spans="1:6" x14ac:dyDescent="0.3">
      <c r="A3" s="8" t="s">
        <v>48</v>
      </c>
      <c r="B3" s="9"/>
      <c r="C3" s="9"/>
      <c r="D3" s="9"/>
      <c r="E3" s="9"/>
      <c r="F3" s="9"/>
    </row>
    <row r="4" spans="1:6" x14ac:dyDescent="0.3">
      <c r="A4" s="8" t="s">
        <v>49</v>
      </c>
      <c r="B4" s="9"/>
      <c r="C4" s="9"/>
      <c r="D4" s="9"/>
      <c r="E4" s="9"/>
      <c r="F4" s="9"/>
    </row>
    <row r="5" spans="1:6" ht="28.8" x14ac:dyDescent="0.3">
      <c r="A5" s="2">
        <v>1</v>
      </c>
      <c r="B5" s="3" t="s">
        <v>50</v>
      </c>
      <c r="C5" s="4" t="s">
        <v>39</v>
      </c>
      <c r="D5" s="6">
        <v>1.38</v>
      </c>
      <c r="E5" s="6"/>
      <c r="F5" s="6">
        <f>D5*E5</f>
        <v>0</v>
      </c>
    </row>
    <row r="6" spans="1:6" ht="28.8" x14ac:dyDescent="0.3">
      <c r="A6" s="2">
        <v>2</v>
      </c>
      <c r="B6" s="3" t="s">
        <v>51</v>
      </c>
      <c r="C6" s="4" t="s">
        <v>19</v>
      </c>
      <c r="D6" s="6">
        <v>22.7</v>
      </c>
      <c r="E6" s="6"/>
      <c r="F6" s="6">
        <f>D6*E6</f>
        <v>0</v>
      </c>
    </row>
    <row r="7" spans="1:6" x14ac:dyDescent="0.3">
      <c r="A7" s="8" t="s">
        <v>52</v>
      </c>
      <c r="B7" s="9"/>
      <c r="C7" s="9"/>
      <c r="D7" s="9"/>
      <c r="E7" s="9"/>
      <c r="F7" s="9"/>
    </row>
    <row r="8" spans="1:6" x14ac:dyDescent="0.3">
      <c r="A8" s="2">
        <v>3</v>
      </c>
      <c r="B8" s="3" t="s">
        <v>53</v>
      </c>
      <c r="C8" s="4" t="s">
        <v>19</v>
      </c>
      <c r="D8" s="6">
        <v>13.5</v>
      </c>
      <c r="E8" s="6"/>
      <c r="F8" s="6">
        <f>D8*E8</f>
        <v>0</v>
      </c>
    </row>
    <row r="9" spans="1:6" x14ac:dyDescent="0.3">
      <c r="A9" s="8" t="s">
        <v>54</v>
      </c>
      <c r="B9" s="9"/>
      <c r="C9" s="9"/>
      <c r="D9" s="9"/>
      <c r="E9" s="9"/>
      <c r="F9" s="9"/>
    </row>
    <row r="10" spans="1:6" x14ac:dyDescent="0.3">
      <c r="A10" s="2">
        <v>4</v>
      </c>
      <c r="B10" s="3" t="s">
        <v>55</v>
      </c>
      <c r="C10" s="4" t="s">
        <v>56</v>
      </c>
      <c r="D10" s="6">
        <v>65</v>
      </c>
      <c r="E10" s="6"/>
      <c r="F10" s="6">
        <f>D10*E10</f>
        <v>0</v>
      </c>
    </row>
    <row r="11" spans="1:6" x14ac:dyDescent="0.3">
      <c r="A11" s="11" t="s">
        <v>34</v>
      </c>
      <c r="B11" s="9"/>
      <c r="C11" s="9"/>
      <c r="D11" s="9"/>
      <c r="E11" s="9"/>
      <c r="F11" s="7">
        <f>SUM(F5:F10)</f>
        <v>0</v>
      </c>
    </row>
  </sheetData>
  <mergeCells count="6">
    <mergeCell ref="A2:F2"/>
    <mergeCell ref="A9:F9"/>
    <mergeCell ref="A11:E11"/>
    <mergeCell ref="A4:F4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57</v>
      </c>
      <c r="B2" s="9"/>
      <c r="C2" s="9"/>
      <c r="D2" s="9"/>
      <c r="E2" s="9"/>
      <c r="F2" s="9"/>
    </row>
    <row r="3" spans="1:6" x14ac:dyDescent="0.3">
      <c r="A3" s="8" t="s">
        <v>58</v>
      </c>
      <c r="B3" s="9"/>
      <c r="C3" s="9"/>
      <c r="D3" s="9"/>
      <c r="E3" s="9"/>
      <c r="F3" s="9"/>
    </row>
    <row r="4" spans="1:6" x14ac:dyDescent="0.3">
      <c r="A4" s="8" t="s">
        <v>59</v>
      </c>
      <c r="B4" s="9"/>
      <c r="C4" s="9"/>
      <c r="D4" s="9"/>
      <c r="E4" s="9"/>
      <c r="F4" s="9"/>
    </row>
    <row r="5" spans="1:6" ht="28.8" x14ac:dyDescent="0.3">
      <c r="A5" s="2">
        <v>1</v>
      </c>
      <c r="B5" s="3" t="s">
        <v>60</v>
      </c>
      <c r="C5" s="4" t="s">
        <v>19</v>
      </c>
      <c r="D5" s="6">
        <v>145.6</v>
      </c>
      <c r="E5" s="6"/>
      <c r="F5" s="6">
        <f>D5*E5</f>
        <v>0</v>
      </c>
    </row>
    <row r="6" spans="1:6" x14ac:dyDescent="0.3">
      <c r="A6" s="2">
        <v>2</v>
      </c>
      <c r="B6" s="3" t="s">
        <v>61</v>
      </c>
      <c r="C6" s="4" t="s">
        <v>19</v>
      </c>
      <c r="D6" s="6">
        <v>33.6</v>
      </c>
      <c r="E6" s="6"/>
      <c r="F6" s="6">
        <f>D6*E6</f>
        <v>0</v>
      </c>
    </row>
    <row r="7" spans="1:6" x14ac:dyDescent="0.3">
      <c r="A7" s="10" t="s">
        <v>62</v>
      </c>
      <c r="B7" s="9"/>
      <c r="C7" s="9"/>
      <c r="D7" s="9"/>
      <c r="E7" s="9"/>
      <c r="F7" s="9"/>
    </row>
    <row r="8" spans="1:6" x14ac:dyDescent="0.3">
      <c r="A8" s="2">
        <v>3</v>
      </c>
      <c r="B8" s="3" t="s">
        <v>63</v>
      </c>
      <c r="C8" s="4" t="s">
        <v>24</v>
      </c>
      <c r="D8" s="6">
        <v>12</v>
      </c>
      <c r="E8" s="6"/>
      <c r="F8" s="6">
        <f>D8*E8</f>
        <v>0</v>
      </c>
    </row>
    <row r="9" spans="1:6" x14ac:dyDescent="0.3">
      <c r="A9" s="2">
        <v>4</v>
      </c>
      <c r="B9" s="3" t="s">
        <v>64</v>
      </c>
      <c r="C9" s="4" t="s">
        <v>24</v>
      </c>
      <c r="D9" s="6">
        <v>4</v>
      </c>
      <c r="E9" s="6"/>
      <c r="F9" s="6">
        <f>D9*E9</f>
        <v>0</v>
      </c>
    </row>
    <row r="10" spans="1:6" x14ac:dyDescent="0.3">
      <c r="A10" s="11" t="s">
        <v>34</v>
      </c>
      <c r="B10" s="9"/>
      <c r="C10" s="9"/>
      <c r="D10" s="9"/>
      <c r="E10" s="9"/>
      <c r="F10" s="7">
        <f>SUM(F5:F9)</f>
        <v>0</v>
      </c>
    </row>
  </sheetData>
  <mergeCells count="5">
    <mergeCell ref="A2:F2"/>
    <mergeCell ref="A10:E10"/>
    <mergeCell ref="A4:F4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65</v>
      </c>
      <c r="B2" s="9"/>
      <c r="C2" s="9"/>
      <c r="D2" s="9"/>
      <c r="E2" s="9"/>
      <c r="F2" s="9"/>
    </row>
    <row r="3" spans="1:6" x14ac:dyDescent="0.3">
      <c r="A3" s="8" t="s">
        <v>66</v>
      </c>
      <c r="B3" s="9"/>
      <c r="C3" s="9"/>
      <c r="D3" s="9"/>
      <c r="E3" s="9"/>
      <c r="F3" s="9"/>
    </row>
    <row r="4" spans="1:6" ht="28.8" x14ac:dyDescent="0.3">
      <c r="A4" s="2">
        <v>1</v>
      </c>
      <c r="B4" s="3" t="s">
        <v>67</v>
      </c>
      <c r="C4" s="4" t="s">
        <v>56</v>
      </c>
      <c r="D4" s="6">
        <v>760</v>
      </c>
      <c r="E4" s="6"/>
      <c r="F4" s="6">
        <f>D4*E4</f>
        <v>0</v>
      </c>
    </row>
    <row r="5" spans="1:6" x14ac:dyDescent="0.3">
      <c r="A5" s="2">
        <v>2</v>
      </c>
      <c r="B5" s="3" t="s">
        <v>68</v>
      </c>
      <c r="C5" s="4" t="s">
        <v>56</v>
      </c>
      <c r="D5" s="6">
        <v>240</v>
      </c>
      <c r="E5" s="6"/>
      <c r="F5" s="6">
        <f>D5*E5</f>
        <v>0</v>
      </c>
    </row>
    <row r="6" spans="1:6" x14ac:dyDescent="0.3">
      <c r="A6" s="2">
        <v>3</v>
      </c>
      <c r="B6" s="3" t="s">
        <v>69</v>
      </c>
      <c r="C6" s="4" t="s">
        <v>16</v>
      </c>
      <c r="D6" s="6">
        <v>75</v>
      </c>
      <c r="E6" s="6"/>
      <c r="F6" s="6">
        <f>D6*E6</f>
        <v>0</v>
      </c>
    </row>
    <row r="7" spans="1:6" x14ac:dyDescent="0.3">
      <c r="A7" s="11" t="s">
        <v>34</v>
      </c>
      <c r="B7" s="9"/>
      <c r="C7" s="9"/>
      <c r="D7" s="9"/>
      <c r="E7" s="9"/>
      <c r="F7" s="7">
        <f>SUM(F4:F6)</f>
        <v>0</v>
      </c>
    </row>
  </sheetData>
  <mergeCells count="3">
    <mergeCell ref="A3:F3"/>
    <mergeCell ref="A2:F2"/>
    <mergeCell ref="A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70</v>
      </c>
      <c r="B2" s="9"/>
      <c r="C2" s="9"/>
      <c r="D2" s="9"/>
      <c r="E2" s="9"/>
      <c r="F2" s="9"/>
    </row>
    <row r="3" spans="1:6" x14ac:dyDescent="0.3">
      <c r="A3" s="10" t="s">
        <v>71</v>
      </c>
      <c r="B3" s="9"/>
      <c r="C3" s="9"/>
      <c r="D3" s="9"/>
      <c r="E3" s="9"/>
      <c r="F3" s="9"/>
    </row>
    <row r="4" spans="1:6" x14ac:dyDescent="0.3">
      <c r="A4" s="10" t="s">
        <v>72</v>
      </c>
      <c r="B4" s="9"/>
      <c r="C4" s="9"/>
      <c r="D4" s="9"/>
      <c r="E4" s="9"/>
      <c r="F4" s="9"/>
    </row>
    <row r="5" spans="1:6" x14ac:dyDescent="0.3">
      <c r="A5" s="2">
        <v>1</v>
      </c>
      <c r="B5" s="3" t="s">
        <v>73</v>
      </c>
      <c r="C5" s="4" t="s">
        <v>19</v>
      </c>
      <c r="D5" s="6">
        <v>350</v>
      </c>
      <c r="E5" s="6"/>
      <c r="F5" s="6">
        <f>D5*E5</f>
        <v>0</v>
      </c>
    </row>
    <row r="6" spans="1:6" x14ac:dyDescent="0.3">
      <c r="A6" s="2">
        <v>2</v>
      </c>
      <c r="B6" s="3" t="s">
        <v>74</v>
      </c>
      <c r="C6" s="4" t="s">
        <v>19</v>
      </c>
      <c r="D6" s="6">
        <v>385</v>
      </c>
      <c r="E6" s="6"/>
      <c r="F6" s="6">
        <f>D6*E6</f>
        <v>0</v>
      </c>
    </row>
    <row r="7" spans="1:6" x14ac:dyDescent="0.3">
      <c r="A7" s="2">
        <v>3</v>
      </c>
      <c r="B7" s="3" t="s">
        <v>75</v>
      </c>
      <c r="C7" s="4" t="s">
        <v>16</v>
      </c>
      <c r="D7" s="6">
        <v>1050</v>
      </c>
      <c r="E7" s="6"/>
      <c r="F7" s="6">
        <f>D7*E7</f>
        <v>0</v>
      </c>
    </row>
    <row r="8" spans="1:6" x14ac:dyDescent="0.3">
      <c r="A8" s="10" t="s">
        <v>76</v>
      </c>
      <c r="B8" s="9"/>
      <c r="C8" s="9"/>
      <c r="D8" s="9"/>
      <c r="E8" s="9"/>
      <c r="F8" s="9"/>
    </row>
    <row r="9" spans="1:6" x14ac:dyDescent="0.3">
      <c r="A9" s="2">
        <v>4</v>
      </c>
      <c r="B9" s="3" t="s">
        <v>77</v>
      </c>
      <c r="C9" s="4" t="s">
        <v>16</v>
      </c>
      <c r="D9" s="6">
        <v>45</v>
      </c>
      <c r="E9" s="6"/>
      <c r="F9" s="6">
        <f>D9*E9</f>
        <v>0</v>
      </c>
    </row>
    <row r="10" spans="1:6" x14ac:dyDescent="0.3">
      <c r="A10" s="2">
        <v>5</v>
      </c>
      <c r="B10" s="3" t="s">
        <v>78</v>
      </c>
      <c r="C10" s="4" t="s">
        <v>16</v>
      </c>
      <c r="D10" s="6">
        <v>8</v>
      </c>
      <c r="E10" s="6"/>
      <c r="F10" s="6">
        <f>D10*E10</f>
        <v>0</v>
      </c>
    </row>
    <row r="11" spans="1:6" x14ac:dyDescent="0.3">
      <c r="A11" s="11" t="s">
        <v>34</v>
      </c>
      <c r="B11" s="9"/>
      <c r="C11" s="9"/>
      <c r="D11" s="9"/>
      <c r="E11" s="9"/>
      <c r="F11" s="7">
        <f>SUM(F5:F10)</f>
        <v>0</v>
      </c>
    </row>
  </sheetData>
  <mergeCells count="5">
    <mergeCell ref="A2:F2"/>
    <mergeCell ref="A8:F8"/>
    <mergeCell ref="A11:E11"/>
    <mergeCell ref="A4:F4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79</v>
      </c>
      <c r="B2" s="9"/>
      <c r="C2" s="9"/>
      <c r="D2" s="9"/>
      <c r="E2" s="9"/>
      <c r="F2" s="9"/>
    </row>
    <row r="3" spans="1:6" x14ac:dyDescent="0.3">
      <c r="A3" s="8" t="s">
        <v>80</v>
      </c>
      <c r="B3" s="9"/>
      <c r="C3" s="9"/>
      <c r="D3" s="9"/>
      <c r="E3" s="9"/>
      <c r="F3" s="9"/>
    </row>
    <row r="4" spans="1:6" x14ac:dyDescent="0.3">
      <c r="A4" s="8" t="s">
        <v>81</v>
      </c>
      <c r="B4" s="9"/>
      <c r="C4" s="9"/>
      <c r="D4" s="9"/>
      <c r="E4" s="9"/>
      <c r="F4" s="9"/>
    </row>
    <row r="5" spans="1:6" ht="28.8" x14ac:dyDescent="0.3">
      <c r="A5" s="2">
        <v>1</v>
      </c>
      <c r="B5" s="3" t="s">
        <v>82</v>
      </c>
      <c r="C5" s="4" t="s">
        <v>16</v>
      </c>
      <c r="D5" s="6">
        <v>103</v>
      </c>
      <c r="E5" s="6"/>
      <c r="F5" s="6">
        <f>D5*E5</f>
        <v>0</v>
      </c>
    </row>
    <row r="6" spans="1:6" x14ac:dyDescent="0.3">
      <c r="A6" s="2">
        <v>2</v>
      </c>
      <c r="B6" s="3" t="s">
        <v>83</v>
      </c>
      <c r="C6" s="4" t="s">
        <v>24</v>
      </c>
      <c r="D6" s="6">
        <v>26</v>
      </c>
      <c r="E6" s="6"/>
      <c r="F6" s="6">
        <f>D6*E6</f>
        <v>0</v>
      </c>
    </row>
    <row r="7" spans="1:6" x14ac:dyDescent="0.3">
      <c r="A7" s="8" t="s">
        <v>84</v>
      </c>
      <c r="B7" s="9"/>
      <c r="C7" s="9"/>
      <c r="D7" s="9"/>
      <c r="E7" s="9"/>
      <c r="F7" s="9"/>
    </row>
    <row r="8" spans="1:6" x14ac:dyDescent="0.3">
      <c r="A8" s="2">
        <v>3</v>
      </c>
      <c r="B8" s="3" t="s">
        <v>85</v>
      </c>
      <c r="C8" s="4" t="s">
        <v>16</v>
      </c>
      <c r="D8" s="6">
        <v>32</v>
      </c>
      <c r="E8" s="6"/>
      <c r="F8" s="6">
        <f>D8*E8</f>
        <v>0</v>
      </c>
    </row>
    <row r="9" spans="1:6" x14ac:dyDescent="0.3">
      <c r="A9" s="2">
        <v>4</v>
      </c>
      <c r="B9" s="3" t="s">
        <v>86</v>
      </c>
      <c r="C9" s="4" t="s">
        <v>24</v>
      </c>
      <c r="D9" s="6">
        <v>27</v>
      </c>
      <c r="E9" s="6"/>
      <c r="F9" s="6">
        <f>D9*E9</f>
        <v>0</v>
      </c>
    </row>
    <row r="10" spans="1:6" x14ac:dyDescent="0.3">
      <c r="A10" s="11" t="s">
        <v>34</v>
      </c>
      <c r="B10" s="9"/>
      <c r="C10" s="9"/>
      <c r="D10" s="9"/>
      <c r="E10" s="9"/>
      <c r="F10" s="7">
        <f>SUM(F5:F9)</f>
        <v>0</v>
      </c>
    </row>
  </sheetData>
  <mergeCells count="5">
    <mergeCell ref="A2:F2"/>
    <mergeCell ref="A10:E10"/>
    <mergeCell ref="A4:F4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87</v>
      </c>
      <c r="B2" s="9"/>
      <c r="C2" s="9"/>
      <c r="D2" s="9"/>
      <c r="E2" s="9"/>
      <c r="F2" s="9"/>
    </row>
    <row r="3" spans="1:6" x14ac:dyDescent="0.3">
      <c r="A3" s="10" t="s">
        <v>88</v>
      </c>
      <c r="B3" s="9"/>
      <c r="C3" s="9"/>
      <c r="D3" s="9"/>
      <c r="E3" s="9"/>
      <c r="F3" s="9"/>
    </row>
    <row r="4" spans="1:6" x14ac:dyDescent="0.3">
      <c r="A4" s="2">
        <v>1</v>
      </c>
      <c r="B4" s="3" t="s">
        <v>89</v>
      </c>
      <c r="C4" s="4" t="s">
        <v>19</v>
      </c>
      <c r="D4" s="6">
        <v>150</v>
      </c>
      <c r="E4" s="6"/>
      <c r="F4" s="6">
        <f>D4*E4</f>
        <v>0</v>
      </c>
    </row>
    <row r="5" spans="1:6" x14ac:dyDescent="0.3">
      <c r="A5" s="2">
        <v>2</v>
      </c>
      <c r="B5" s="3" t="s">
        <v>90</v>
      </c>
      <c r="C5" s="4" t="s">
        <v>19</v>
      </c>
      <c r="D5" s="6">
        <v>195</v>
      </c>
      <c r="E5" s="6"/>
      <c r="F5" s="6">
        <f>D5*E5</f>
        <v>0</v>
      </c>
    </row>
    <row r="6" spans="1:6" x14ac:dyDescent="0.3">
      <c r="A6" s="2">
        <v>3</v>
      </c>
      <c r="B6" s="3" t="s">
        <v>91</v>
      </c>
      <c r="C6" s="4" t="s">
        <v>16</v>
      </c>
      <c r="D6" s="6">
        <v>75</v>
      </c>
      <c r="E6" s="6"/>
      <c r="F6" s="6">
        <f>D6*E6</f>
        <v>0</v>
      </c>
    </row>
    <row r="7" spans="1:6" x14ac:dyDescent="0.3">
      <c r="A7" s="2">
        <v>4</v>
      </c>
      <c r="B7" s="3" t="s">
        <v>92</v>
      </c>
      <c r="C7" s="4" t="s">
        <v>16</v>
      </c>
      <c r="D7" s="6">
        <v>40</v>
      </c>
      <c r="E7" s="6"/>
      <c r="F7" s="6">
        <f>D7*E7</f>
        <v>0</v>
      </c>
    </row>
    <row r="8" spans="1:6" x14ac:dyDescent="0.3">
      <c r="A8" s="11" t="s">
        <v>34</v>
      </c>
      <c r="B8" s="9"/>
      <c r="C8" s="9"/>
      <c r="D8" s="9"/>
      <c r="E8" s="9"/>
      <c r="F8" s="7">
        <f>SUM(F4:F7)</f>
        <v>0</v>
      </c>
    </row>
  </sheetData>
  <mergeCells count="3">
    <mergeCell ref="A3:F3"/>
    <mergeCell ref="A2:F2"/>
    <mergeCell ref="A8:E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93</v>
      </c>
      <c r="B2" s="9"/>
      <c r="C2" s="9"/>
      <c r="D2" s="9"/>
      <c r="E2" s="9"/>
      <c r="F2" s="9"/>
    </row>
    <row r="3" spans="1:6" x14ac:dyDescent="0.3">
      <c r="A3" s="10" t="s">
        <v>94</v>
      </c>
      <c r="B3" s="9"/>
      <c r="C3" s="9"/>
      <c r="D3" s="9"/>
      <c r="E3" s="9"/>
      <c r="F3" s="9"/>
    </row>
    <row r="4" spans="1:6" x14ac:dyDescent="0.3">
      <c r="A4" s="10" t="s">
        <v>95</v>
      </c>
      <c r="B4" s="9"/>
      <c r="C4" s="9"/>
      <c r="D4" s="9"/>
      <c r="E4" s="9"/>
      <c r="F4" s="9"/>
    </row>
    <row r="5" spans="1:6" ht="28.8" x14ac:dyDescent="0.3">
      <c r="A5" s="2">
        <v>1</v>
      </c>
      <c r="B5" s="3" t="s">
        <v>96</v>
      </c>
      <c r="C5" s="4" t="s">
        <v>24</v>
      </c>
      <c r="D5" s="6">
        <v>17</v>
      </c>
      <c r="E5" s="6"/>
      <c r="F5" s="6">
        <f>D5*E5</f>
        <v>0</v>
      </c>
    </row>
    <row r="6" spans="1:6" ht="28.8" x14ac:dyDescent="0.3">
      <c r="A6" s="2">
        <v>2</v>
      </c>
      <c r="B6" s="3" t="s">
        <v>97</v>
      </c>
      <c r="C6" s="4" t="s">
        <v>24</v>
      </c>
      <c r="D6" s="6">
        <v>10</v>
      </c>
      <c r="E6" s="6"/>
      <c r="F6" s="6">
        <f>D6*E6</f>
        <v>0</v>
      </c>
    </row>
    <row r="7" spans="1:6" ht="28.8" x14ac:dyDescent="0.3">
      <c r="A7" s="2">
        <v>3</v>
      </c>
      <c r="B7" s="3" t="s">
        <v>98</v>
      </c>
      <c r="C7" s="4" t="s">
        <v>24</v>
      </c>
      <c r="D7" s="6">
        <v>5</v>
      </c>
      <c r="E7" s="6"/>
      <c r="F7" s="6">
        <f>D7*E7</f>
        <v>0</v>
      </c>
    </row>
    <row r="8" spans="1:6" x14ac:dyDescent="0.3">
      <c r="A8" s="2">
        <v>4</v>
      </c>
      <c r="B8" s="3" t="s">
        <v>99</v>
      </c>
      <c r="C8" s="4" t="s">
        <v>24</v>
      </c>
      <c r="D8" s="6">
        <v>7</v>
      </c>
      <c r="E8" s="6"/>
      <c r="F8" s="6">
        <f>D8*E8</f>
        <v>0</v>
      </c>
    </row>
    <row r="9" spans="1:6" x14ac:dyDescent="0.3">
      <c r="A9" s="10" t="s">
        <v>100</v>
      </c>
      <c r="B9" s="9"/>
      <c r="C9" s="9"/>
      <c r="D9" s="9"/>
      <c r="E9" s="9"/>
      <c r="F9" s="9"/>
    </row>
    <row r="10" spans="1:6" x14ac:dyDescent="0.3">
      <c r="A10" s="2">
        <v>5</v>
      </c>
      <c r="B10" s="3" t="s">
        <v>101</v>
      </c>
      <c r="C10" s="4" t="s">
        <v>24</v>
      </c>
      <c r="D10" s="6">
        <v>2</v>
      </c>
      <c r="E10" s="6"/>
      <c r="F10" s="6">
        <f>D10*E10</f>
        <v>0</v>
      </c>
    </row>
    <row r="11" spans="1:6" x14ac:dyDescent="0.3">
      <c r="A11" s="2">
        <v>6</v>
      </c>
      <c r="B11" s="3" t="s">
        <v>102</v>
      </c>
      <c r="C11" s="4" t="s">
        <v>24</v>
      </c>
      <c r="D11" s="6">
        <v>1</v>
      </c>
      <c r="E11" s="6"/>
      <c r="F11" s="6">
        <f>D11*E11</f>
        <v>0</v>
      </c>
    </row>
    <row r="12" spans="1:6" x14ac:dyDescent="0.3">
      <c r="A12" s="11" t="s">
        <v>34</v>
      </c>
      <c r="B12" s="9"/>
      <c r="C12" s="9"/>
      <c r="D12" s="9"/>
      <c r="E12" s="9"/>
      <c r="F12" s="7">
        <f>SUM(F5:F11)</f>
        <v>0</v>
      </c>
    </row>
  </sheetData>
  <mergeCells count="5">
    <mergeCell ref="A2:F2"/>
    <mergeCell ref="A12:E12"/>
    <mergeCell ref="A9:F9"/>
    <mergeCell ref="A4:F4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103</v>
      </c>
      <c r="B2" s="9"/>
      <c r="C2" s="9"/>
      <c r="D2" s="9"/>
      <c r="E2" s="9"/>
      <c r="F2" s="9"/>
    </row>
    <row r="3" spans="1:6" x14ac:dyDescent="0.3">
      <c r="A3" s="8" t="s">
        <v>104</v>
      </c>
      <c r="B3" s="9"/>
      <c r="C3" s="9"/>
      <c r="D3" s="9"/>
      <c r="E3" s="9"/>
      <c r="F3" s="9"/>
    </row>
    <row r="4" spans="1:6" x14ac:dyDescent="0.3">
      <c r="A4" s="2">
        <v>1</v>
      </c>
      <c r="B4" s="3" t="s">
        <v>105</v>
      </c>
      <c r="C4" s="4" t="s">
        <v>24</v>
      </c>
      <c r="D4" s="6">
        <v>1</v>
      </c>
      <c r="E4" s="6"/>
      <c r="F4" s="6">
        <f>D4*E4</f>
        <v>0</v>
      </c>
    </row>
    <row r="5" spans="1:6" x14ac:dyDescent="0.3">
      <c r="A5" s="2">
        <v>2</v>
      </c>
      <c r="B5" s="3" t="s">
        <v>106</v>
      </c>
      <c r="C5" s="4" t="s">
        <v>24</v>
      </c>
      <c r="D5" s="6">
        <v>1</v>
      </c>
      <c r="E5" s="6"/>
      <c r="F5" s="6">
        <f>D5*E5</f>
        <v>0</v>
      </c>
    </row>
    <row r="6" spans="1:6" x14ac:dyDescent="0.3">
      <c r="A6" s="11" t="s">
        <v>34</v>
      </c>
      <c r="B6" s="9"/>
      <c r="C6" s="9"/>
      <c r="D6" s="9"/>
      <c r="E6" s="9"/>
      <c r="F6" s="7">
        <f>SUM(F4:F5)</f>
        <v>0</v>
      </c>
    </row>
  </sheetData>
  <mergeCells count="3">
    <mergeCell ref="A3:F3"/>
    <mergeCell ref="A2:F2"/>
    <mergeCell ref="A6:E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107</v>
      </c>
      <c r="B2" s="9"/>
      <c r="C2" s="9"/>
      <c r="D2" s="9"/>
      <c r="E2" s="9"/>
      <c r="F2" s="9"/>
    </row>
    <row r="3" spans="1:6" x14ac:dyDescent="0.3">
      <c r="A3" s="8" t="s">
        <v>108</v>
      </c>
      <c r="B3" s="9"/>
      <c r="C3" s="9"/>
      <c r="D3" s="9"/>
      <c r="E3" s="9"/>
      <c r="F3" s="9"/>
    </row>
    <row r="4" spans="1:6" x14ac:dyDescent="0.3">
      <c r="A4" s="10" t="s">
        <v>109</v>
      </c>
      <c r="B4" s="9"/>
      <c r="C4" s="9"/>
      <c r="D4" s="9"/>
      <c r="E4" s="9"/>
      <c r="F4" s="9"/>
    </row>
    <row r="5" spans="1:6" x14ac:dyDescent="0.3">
      <c r="A5" s="2">
        <v>1</v>
      </c>
      <c r="B5" s="3" t="s">
        <v>110</v>
      </c>
      <c r="C5" s="4" t="s">
        <v>19</v>
      </c>
      <c r="D5" s="6">
        <v>81</v>
      </c>
      <c r="E5" s="6"/>
      <c r="F5" s="6">
        <f>D5*E5</f>
        <v>0</v>
      </c>
    </row>
    <row r="6" spans="1:6" x14ac:dyDescent="0.3">
      <c r="A6" s="8" t="s">
        <v>111</v>
      </c>
      <c r="B6" s="9"/>
      <c r="C6" s="9"/>
      <c r="D6" s="9"/>
      <c r="E6" s="9"/>
      <c r="F6" s="9"/>
    </row>
    <row r="7" spans="1:6" ht="28.8" x14ac:dyDescent="0.3">
      <c r="A7" s="2">
        <v>2</v>
      </c>
      <c r="B7" s="3" t="s">
        <v>112</v>
      </c>
      <c r="C7" s="4" t="s">
        <v>19</v>
      </c>
      <c r="D7" s="6">
        <v>293</v>
      </c>
      <c r="E7" s="6"/>
      <c r="F7" s="6">
        <f>D7*E7</f>
        <v>0</v>
      </c>
    </row>
    <row r="8" spans="1:6" x14ac:dyDescent="0.3">
      <c r="A8" s="8" t="s">
        <v>113</v>
      </c>
      <c r="B8" s="9"/>
      <c r="C8" s="9"/>
      <c r="D8" s="9"/>
      <c r="E8" s="9"/>
      <c r="F8" s="9"/>
    </row>
    <row r="9" spans="1:6" x14ac:dyDescent="0.3">
      <c r="A9" s="2">
        <v>3</v>
      </c>
      <c r="B9" s="3" t="s">
        <v>114</v>
      </c>
      <c r="C9" s="4" t="s">
        <v>19</v>
      </c>
      <c r="D9" s="6">
        <v>30</v>
      </c>
      <c r="E9" s="6"/>
      <c r="F9" s="6">
        <f>D9*E9</f>
        <v>0</v>
      </c>
    </row>
    <row r="10" spans="1:6" x14ac:dyDescent="0.3">
      <c r="A10" s="10" t="s">
        <v>115</v>
      </c>
      <c r="B10" s="9"/>
      <c r="C10" s="9"/>
      <c r="D10" s="9"/>
      <c r="E10" s="9"/>
      <c r="F10" s="9"/>
    </row>
    <row r="11" spans="1:6" x14ac:dyDescent="0.3">
      <c r="A11" s="2">
        <v>4</v>
      </c>
      <c r="B11" s="3" t="s">
        <v>116</v>
      </c>
      <c r="C11" s="4" t="s">
        <v>16</v>
      </c>
      <c r="D11" s="6">
        <v>27</v>
      </c>
      <c r="E11" s="6"/>
      <c r="F11" s="6">
        <f>D11*E11</f>
        <v>0</v>
      </c>
    </row>
    <row r="12" spans="1:6" x14ac:dyDescent="0.3">
      <c r="A12" s="2">
        <v>5</v>
      </c>
      <c r="B12" s="3" t="s">
        <v>117</v>
      </c>
      <c r="C12" s="4" t="s">
        <v>24</v>
      </c>
      <c r="D12" s="6">
        <v>14</v>
      </c>
      <c r="E12" s="6"/>
      <c r="F12" s="6">
        <f>D12*E12</f>
        <v>0</v>
      </c>
    </row>
    <row r="13" spans="1:6" x14ac:dyDescent="0.3">
      <c r="A13" s="2">
        <v>6</v>
      </c>
      <c r="B13" s="3" t="s">
        <v>118</v>
      </c>
      <c r="C13" s="4" t="s">
        <v>16</v>
      </c>
      <c r="D13" s="6">
        <v>85</v>
      </c>
      <c r="E13" s="6"/>
      <c r="F13" s="6">
        <f>D13*E13</f>
        <v>0</v>
      </c>
    </row>
    <row r="14" spans="1:6" x14ac:dyDescent="0.3">
      <c r="A14" s="11" t="s">
        <v>34</v>
      </c>
      <c r="B14" s="9"/>
      <c r="C14" s="9"/>
      <c r="D14" s="9"/>
      <c r="E14" s="9"/>
      <c r="F14" s="7">
        <f>SUM(F5:F13)</f>
        <v>0</v>
      </c>
    </row>
  </sheetData>
  <mergeCells count="7">
    <mergeCell ref="A14:E14"/>
    <mergeCell ref="A3:F3"/>
    <mergeCell ref="A2:F2"/>
    <mergeCell ref="A10:F10"/>
    <mergeCell ref="A8:F8"/>
    <mergeCell ref="A6:F6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119</v>
      </c>
      <c r="B2" s="9"/>
      <c r="C2" s="9"/>
      <c r="D2" s="9"/>
      <c r="E2" s="9"/>
      <c r="F2" s="9"/>
    </row>
    <row r="3" spans="1:6" x14ac:dyDescent="0.3">
      <c r="A3" s="8" t="s">
        <v>120</v>
      </c>
      <c r="B3" s="9"/>
      <c r="C3" s="9"/>
      <c r="D3" s="9"/>
      <c r="E3" s="9"/>
      <c r="F3" s="9"/>
    </row>
    <row r="4" spans="1:6" x14ac:dyDescent="0.3">
      <c r="A4" s="8" t="s">
        <v>121</v>
      </c>
      <c r="B4" s="9"/>
      <c r="C4" s="9"/>
      <c r="D4" s="9"/>
      <c r="E4" s="9"/>
      <c r="F4" s="9"/>
    </row>
    <row r="5" spans="1:6" x14ac:dyDescent="0.3">
      <c r="A5" s="2">
        <v>1</v>
      </c>
      <c r="B5" s="3" t="s">
        <v>122</v>
      </c>
      <c r="C5" s="4" t="s">
        <v>19</v>
      </c>
      <c r="D5" s="6">
        <v>179</v>
      </c>
      <c r="E5" s="6"/>
      <c r="F5" s="6">
        <f>D5*E5</f>
        <v>0</v>
      </c>
    </row>
    <row r="6" spans="1:6" x14ac:dyDescent="0.3">
      <c r="A6" s="2">
        <v>2</v>
      </c>
      <c r="B6" s="3" t="s">
        <v>123</v>
      </c>
      <c r="C6" s="4" t="s">
        <v>19</v>
      </c>
      <c r="D6" s="6">
        <v>145</v>
      </c>
      <c r="E6" s="6"/>
      <c r="F6" s="6">
        <f>D6*E6</f>
        <v>0</v>
      </c>
    </row>
    <row r="7" spans="1:6" x14ac:dyDescent="0.3">
      <c r="A7" s="8" t="s">
        <v>124</v>
      </c>
      <c r="B7" s="9"/>
      <c r="C7" s="9"/>
      <c r="D7" s="9"/>
      <c r="E7" s="9"/>
      <c r="F7" s="9"/>
    </row>
    <row r="8" spans="1:6" ht="28.8" x14ac:dyDescent="0.3">
      <c r="A8" s="2">
        <v>3</v>
      </c>
      <c r="B8" s="3" t="s">
        <v>125</v>
      </c>
      <c r="C8" s="4" t="s">
        <v>19</v>
      </c>
      <c r="D8" s="6">
        <v>48</v>
      </c>
      <c r="E8" s="6"/>
      <c r="F8" s="6">
        <f>D8*E8</f>
        <v>0</v>
      </c>
    </row>
    <row r="9" spans="1:6" x14ac:dyDescent="0.3">
      <c r="A9" s="2">
        <v>4</v>
      </c>
      <c r="B9" s="3" t="s">
        <v>126</v>
      </c>
      <c r="C9" s="4" t="s">
        <v>16</v>
      </c>
      <c r="D9" s="6">
        <v>12</v>
      </c>
      <c r="E9" s="6"/>
      <c r="F9" s="6">
        <f>D9*E9</f>
        <v>0</v>
      </c>
    </row>
    <row r="10" spans="1:6" x14ac:dyDescent="0.3">
      <c r="A10" s="8" t="s">
        <v>127</v>
      </c>
      <c r="B10" s="9"/>
      <c r="C10" s="9"/>
      <c r="D10" s="9"/>
      <c r="E10" s="9"/>
      <c r="F10" s="9"/>
    </row>
    <row r="11" spans="1:6" ht="28.8" x14ac:dyDescent="0.3">
      <c r="A11" s="2">
        <v>5</v>
      </c>
      <c r="B11" s="3" t="s">
        <v>128</v>
      </c>
      <c r="C11" s="4" t="s">
        <v>19</v>
      </c>
      <c r="D11" s="6">
        <v>420</v>
      </c>
      <c r="E11" s="6"/>
      <c r="F11" s="6">
        <f>D11*E11</f>
        <v>0</v>
      </c>
    </row>
    <row r="12" spans="1:6" ht="28.8" x14ac:dyDescent="0.3">
      <c r="A12" s="2">
        <v>6</v>
      </c>
      <c r="B12" s="3" t="s">
        <v>129</v>
      </c>
      <c r="C12" s="4" t="s">
        <v>19</v>
      </c>
      <c r="D12" s="6">
        <v>1730</v>
      </c>
      <c r="E12" s="6"/>
      <c r="F12" s="6">
        <f>D12*E12</f>
        <v>0</v>
      </c>
    </row>
    <row r="13" spans="1:6" x14ac:dyDescent="0.3">
      <c r="A13" s="11" t="s">
        <v>34</v>
      </c>
      <c r="B13" s="9"/>
      <c r="C13" s="9"/>
      <c r="D13" s="9"/>
      <c r="E13" s="9"/>
      <c r="F13" s="7">
        <f>SUM(F5:F12)</f>
        <v>0</v>
      </c>
    </row>
  </sheetData>
  <mergeCells count="6">
    <mergeCell ref="A2:F2"/>
    <mergeCell ref="A10:F10"/>
    <mergeCell ref="A4:F4"/>
    <mergeCell ref="A13:E13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130</v>
      </c>
      <c r="B2" s="9"/>
      <c r="C2" s="9"/>
      <c r="D2" s="9"/>
      <c r="E2" s="9"/>
      <c r="F2" s="9"/>
    </row>
    <row r="3" spans="1:6" x14ac:dyDescent="0.3">
      <c r="A3" s="10" t="s">
        <v>131</v>
      </c>
      <c r="B3" s="9"/>
      <c r="C3" s="9"/>
      <c r="D3" s="9"/>
      <c r="E3" s="9"/>
      <c r="F3" s="9"/>
    </row>
    <row r="4" spans="1:6" x14ac:dyDescent="0.3">
      <c r="A4" s="2">
        <v>1</v>
      </c>
      <c r="B4" s="3" t="s">
        <v>132</v>
      </c>
      <c r="C4" s="4" t="s">
        <v>16</v>
      </c>
      <c r="D4" s="6">
        <v>165</v>
      </c>
      <c r="E4" s="6"/>
      <c r="F4" s="6">
        <f>D4*E4</f>
        <v>0</v>
      </c>
    </row>
    <row r="5" spans="1:6" x14ac:dyDescent="0.3">
      <c r="A5" s="2">
        <v>2</v>
      </c>
      <c r="B5" s="3" t="s">
        <v>133</v>
      </c>
      <c r="C5" s="4" t="s">
        <v>16</v>
      </c>
      <c r="D5" s="6">
        <v>58</v>
      </c>
      <c r="E5" s="6"/>
      <c r="F5" s="6">
        <f>D5*E5</f>
        <v>0</v>
      </c>
    </row>
    <row r="6" spans="1:6" x14ac:dyDescent="0.3">
      <c r="A6" s="11" t="s">
        <v>34</v>
      </c>
      <c r="B6" s="9"/>
      <c r="C6" s="9"/>
      <c r="D6" s="9"/>
      <c r="E6" s="9"/>
      <c r="F6" s="7">
        <f>SUM(F4:F5)</f>
        <v>0</v>
      </c>
    </row>
  </sheetData>
  <mergeCells count="3">
    <mergeCell ref="A3:F3"/>
    <mergeCell ref="A2:F2"/>
    <mergeCell ref="A6:E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134</v>
      </c>
      <c r="B2" s="9"/>
      <c r="C2" s="9"/>
      <c r="D2" s="9"/>
      <c r="E2" s="9"/>
      <c r="F2" s="9"/>
    </row>
    <row r="3" spans="1:6" x14ac:dyDescent="0.3">
      <c r="A3" s="10" t="s">
        <v>135</v>
      </c>
      <c r="B3" s="9"/>
      <c r="C3" s="9"/>
      <c r="D3" s="9"/>
      <c r="E3" s="9"/>
      <c r="F3" s="9"/>
    </row>
    <row r="4" spans="1:6" x14ac:dyDescent="0.3">
      <c r="A4" s="8" t="s">
        <v>136</v>
      </c>
      <c r="B4" s="9"/>
      <c r="C4" s="9"/>
      <c r="D4" s="9"/>
      <c r="E4" s="9"/>
      <c r="F4" s="9"/>
    </row>
    <row r="5" spans="1:6" x14ac:dyDescent="0.3">
      <c r="A5" s="2">
        <v>1</v>
      </c>
      <c r="B5" s="3" t="s">
        <v>137</v>
      </c>
      <c r="C5" s="4" t="s">
        <v>19</v>
      </c>
      <c r="D5" s="6">
        <v>107</v>
      </c>
      <c r="E5" s="6"/>
      <c r="F5" s="6">
        <f>D5*E5</f>
        <v>0</v>
      </c>
    </row>
    <row r="6" spans="1:6" x14ac:dyDescent="0.3">
      <c r="A6" s="8" t="s">
        <v>138</v>
      </c>
      <c r="B6" s="9"/>
      <c r="C6" s="9"/>
      <c r="D6" s="9"/>
      <c r="E6" s="9"/>
      <c r="F6" s="9"/>
    </row>
    <row r="7" spans="1:6" x14ac:dyDescent="0.3">
      <c r="A7" s="2">
        <v>2</v>
      </c>
      <c r="B7" s="3" t="s">
        <v>139</v>
      </c>
      <c r="C7" s="4" t="s">
        <v>19</v>
      </c>
      <c r="D7" s="6">
        <v>285</v>
      </c>
      <c r="E7" s="6"/>
      <c r="F7" s="6">
        <f>D7*E7</f>
        <v>0</v>
      </c>
    </row>
    <row r="8" spans="1:6" x14ac:dyDescent="0.3">
      <c r="A8" s="11" t="s">
        <v>34</v>
      </c>
      <c r="B8" s="9"/>
      <c r="C8" s="9"/>
      <c r="D8" s="9"/>
      <c r="E8" s="9"/>
      <c r="F8" s="7">
        <f>SUM(F5:F7)</f>
        <v>0</v>
      </c>
    </row>
  </sheetData>
  <mergeCells count="5">
    <mergeCell ref="A2:F2"/>
    <mergeCell ref="A6:F6"/>
    <mergeCell ref="A4:F4"/>
    <mergeCell ref="A8:E8"/>
    <mergeCell ref="A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140</v>
      </c>
      <c r="B2" s="9"/>
      <c r="C2" s="9"/>
      <c r="D2" s="9"/>
      <c r="E2" s="9"/>
      <c r="F2" s="9"/>
    </row>
    <row r="3" spans="1:6" x14ac:dyDescent="0.3">
      <c r="A3" s="8" t="s">
        <v>141</v>
      </c>
      <c r="B3" s="9"/>
      <c r="C3" s="9"/>
      <c r="D3" s="9"/>
      <c r="E3" s="9"/>
      <c r="F3" s="9"/>
    </row>
    <row r="4" spans="1:6" ht="28.8" x14ac:dyDescent="0.3">
      <c r="A4" s="2">
        <v>1</v>
      </c>
      <c r="B4" s="3" t="s">
        <v>142</v>
      </c>
      <c r="C4" s="4" t="s">
        <v>24</v>
      </c>
      <c r="D4" s="6">
        <v>8</v>
      </c>
      <c r="E4" s="6"/>
      <c r="F4" s="6">
        <f t="shared" ref="F4:F9" si="0">D4*E4</f>
        <v>0</v>
      </c>
    </row>
    <row r="5" spans="1:6" ht="28.8" x14ac:dyDescent="0.3">
      <c r="A5" s="2">
        <v>2</v>
      </c>
      <c r="B5" s="3" t="s">
        <v>143</v>
      </c>
      <c r="C5" s="4" t="s">
        <v>24</v>
      </c>
      <c r="D5" s="6">
        <v>6</v>
      </c>
      <c r="E5" s="6"/>
      <c r="F5" s="6">
        <f t="shared" si="0"/>
        <v>0</v>
      </c>
    </row>
    <row r="6" spans="1:6" x14ac:dyDescent="0.3">
      <c r="A6" s="2">
        <v>3</v>
      </c>
      <c r="B6" s="3" t="s">
        <v>144</v>
      </c>
      <c r="C6" s="4" t="s">
        <v>24</v>
      </c>
      <c r="D6" s="6">
        <v>4</v>
      </c>
      <c r="E6" s="6"/>
      <c r="F6" s="6">
        <f t="shared" si="0"/>
        <v>0</v>
      </c>
    </row>
    <row r="7" spans="1:6" x14ac:dyDescent="0.3">
      <c r="A7" s="2">
        <v>4</v>
      </c>
      <c r="B7" s="3" t="s">
        <v>145</v>
      </c>
      <c r="C7" s="4" t="s">
        <v>24</v>
      </c>
      <c r="D7" s="6">
        <v>1</v>
      </c>
      <c r="E7" s="6"/>
      <c r="F7" s="6">
        <f t="shared" si="0"/>
        <v>0</v>
      </c>
    </row>
    <row r="8" spans="1:6" x14ac:dyDescent="0.3">
      <c r="A8" s="2">
        <v>5</v>
      </c>
      <c r="B8" s="3" t="s">
        <v>146</v>
      </c>
      <c r="C8" s="4" t="s">
        <v>24</v>
      </c>
      <c r="D8" s="6">
        <v>3</v>
      </c>
      <c r="E8" s="6"/>
      <c r="F8" s="6">
        <f t="shared" si="0"/>
        <v>0</v>
      </c>
    </row>
    <row r="9" spans="1:6" x14ac:dyDescent="0.3">
      <c r="A9" s="2">
        <v>6</v>
      </c>
      <c r="B9" s="3" t="s">
        <v>147</v>
      </c>
      <c r="C9" s="4" t="s">
        <v>24</v>
      </c>
      <c r="D9" s="6">
        <v>2</v>
      </c>
      <c r="E9" s="6"/>
      <c r="F9" s="6">
        <f t="shared" si="0"/>
        <v>0</v>
      </c>
    </row>
    <row r="10" spans="1:6" x14ac:dyDescent="0.3">
      <c r="A10" s="11" t="s">
        <v>34</v>
      </c>
      <c r="B10" s="9"/>
      <c r="C10" s="9"/>
      <c r="D10" s="9"/>
      <c r="E10" s="9"/>
      <c r="F10" s="7">
        <f>SUM(F4:F9)</f>
        <v>0</v>
      </c>
    </row>
  </sheetData>
  <mergeCells count="3">
    <mergeCell ref="A3:F3"/>
    <mergeCell ref="A2:F2"/>
    <mergeCell ref="A10:E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148</v>
      </c>
      <c r="B2" s="9"/>
      <c r="C2" s="9"/>
      <c r="D2" s="9"/>
      <c r="E2" s="9"/>
      <c r="F2" s="9"/>
    </row>
    <row r="3" spans="1:6" x14ac:dyDescent="0.3">
      <c r="A3" s="8" t="s">
        <v>149</v>
      </c>
      <c r="B3" s="9"/>
      <c r="C3" s="9"/>
      <c r="D3" s="9"/>
      <c r="E3" s="9"/>
      <c r="F3" s="9"/>
    </row>
    <row r="4" spans="1:6" ht="28.8" x14ac:dyDescent="0.3">
      <c r="A4" s="2">
        <v>1</v>
      </c>
      <c r="B4" s="3" t="s">
        <v>150</v>
      </c>
      <c r="C4" s="4" t="s">
        <v>24</v>
      </c>
      <c r="D4" s="6">
        <v>1</v>
      </c>
      <c r="E4" s="6"/>
      <c r="F4" s="6">
        <f>D4*E4</f>
        <v>0</v>
      </c>
    </row>
    <row r="5" spans="1:6" ht="28.8" x14ac:dyDescent="0.3">
      <c r="A5" s="2">
        <v>2</v>
      </c>
      <c r="B5" s="3" t="s">
        <v>151</v>
      </c>
      <c r="C5" s="4" t="s">
        <v>24</v>
      </c>
      <c r="D5" s="6">
        <v>1</v>
      </c>
      <c r="E5" s="6"/>
      <c r="F5" s="6">
        <f>D5*E5</f>
        <v>0</v>
      </c>
    </row>
    <row r="6" spans="1:6" x14ac:dyDescent="0.3">
      <c r="A6" s="11" t="s">
        <v>34</v>
      </c>
      <c r="B6" s="9"/>
      <c r="C6" s="9"/>
      <c r="D6" s="9"/>
      <c r="E6" s="9"/>
      <c r="F6" s="7">
        <f>SUM(F4:F5)</f>
        <v>0</v>
      </c>
    </row>
  </sheetData>
  <mergeCells count="3">
    <mergeCell ref="A3:F3"/>
    <mergeCell ref="A2:F2"/>
    <mergeCell ref="A6:E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152</v>
      </c>
      <c r="B2" s="9"/>
      <c r="C2" s="9"/>
      <c r="D2" s="9"/>
      <c r="E2" s="9"/>
      <c r="F2" s="9"/>
    </row>
    <row r="3" spans="1:6" x14ac:dyDescent="0.3">
      <c r="A3" s="8" t="s">
        <v>153</v>
      </c>
      <c r="B3" s="9"/>
      <c r="C3" s="9"/>
      <c r="D3" s="9"/>
      <c r="E3" s="9"/>
      <c r="F3" s="9"/>
    </row>
    <row r="4" spans="1:6" x14ac:dyDescent="0.3">
      <c r="A4" s="2">
        <v>1</v>
      </c>
      <c r="B4" s="3" t="s">
        <v>154</v>
      </c>
      <c r="C4" s="4" t="s">
        <v>24</v>
      </c>
      <c r="D4" s="6">
        <v>25</v>
      </c>
      <c r="E4" s="6"/>
      <c r="F4" s="6">
        <f t="shared" ref="F4:F9" si="0">D4*E4</f>
        <v>0</v>
      </c>
    </row>
    <row r="5" spans="1:6" x14ac:dyDescent="0.3">
      <c r="A5" s="2">
        <v>2</v>
      </c>
      <c r="B5" s="3" t="s">
        <v>155</v>
      </c>
      <c r="C5" s="4" t="s">
        <v>24</v>
      </c>
      <c r="D5" s="6">
        <v>20</v>
      </c>
      <c r="E5" s="6"/>
      <c r="F5" s="6">
        <f t="shared" si="0"/>
        <v>0</v>
      </c>
    </row>
    <row r="6" spans="1:6" x14ac:dyDescent="0.3">
      <c r="A6" s="2">
        <v>3</v>
      </c>
      <c r="B6" s="3" t="s">
        <v>156</v>
      </c>
      <c r="C6" s="4" t="s">
        <v>24</v>
      </c>
      <c r="D6" s="6">
        <v>2</v>
      </c>
      <c r="E6" s="6"/>
      <c r="F6" s="6">
        <f t="shared" si="0"/>
        <v>0</v>
      </c>
    </row>
    <row r="7" spans="1:6" x14ac:dyDescent="0.3">
      <c r="A7" s="2">
        <v>4</v>
      </c>
      <c r="B7" s="3" t="s">
        <v>157</v>
      </c>
      <c r="C7" s="4" t="s">
        <v>24</v>
      </c>
      <c r="D7" s="6">
        <v>2</v>
      </c>
      <c r="E7" s="6"/>
      <c r="F7" s="6">
        <f t="shared" si="0"/>
        <v>0</v>
      </c>
    </row>
    <row r="8" spans="1:6" x14ac:dyDescent="0.3">
      <c r="A8" s="2">
        <v>5</v>
      </c>
      <c r="B8" s="3" t="s">
        <v>158</v>
      </c>
      <c r="C8" s="4" t="s">
        <v>24</v>
      </c>
      <c r="D8" s="6">
        <v>8</v>
      </c>
      <c r="E8" s="6"/>
      <c r="F8" s="6">
        <f t="shared" si="0"/>
        <v>0</v>
      </c>
    </row>
    <row r="9" spans="1:6" x14ac:dyDescent="0.3">
      <c r="A9" s="2">
        <v>6</v>
      </c>
      <c r="B9" s="3" t="s">
        <v>159</v>
      </c>
      <c r="C9" s="4" t="s">
        <v>160</v>
      </c>
      <c r="D9" s="6">
        <v>75</v>
      </c>
      <c r="E9" s="6"/>
      <c r="F9" s="6">
        <f t="shared" si="0"/>
        <v>0</v>
      </c>
    </row>
    <row r="10" spans="1:6" x14ac:dyDescent="0.3">
      <c r="A10" s="2">
        <v>7</v>
      </c>
      <c r="B10" s="3" t="s">
        <v>161</v>
      </c>
      <c r="C10" s="4" t="s">
        <v>14</v>
      </c>
      <c r="D10" s="5"/>
      <c r="E10" s="6"/>
      <c r="F10" s="5"/>
    </row>
    <row r="11" spans="1:6" x14ac:dyDescent="0.3">
      <c r="A11" s="8" t="s">
        <v>162</v>
      </c>
      <c r="B11" s="9"/>
      <c r="C11" s="9"/>
      <c r="D11" s="9"/>
      <c r="E11" s="9"/>
      <c r="F11" s="9"/>
    </row>
    <row r="12" spans="1:6" x14ac:dyDescent="0.3">
      <c r="A12" s="8" t="s">
        <v>163</v>
      </c>
      <c r="B12" s="9"/>
      <c r="C12" s="9"/>
      <c r="D12" s="9"/>
      <c r="E12" s="9"/>
      <c r="F12" s="9"/>
    </row>
    <row r="13" spans="1:6" x14ac:dyDescent="0.3">
      <c r="A13" s="11" t="s">
        <v>34</v>
      </c>
      <c r="B13" s="9"/>
      <c r="C13" s="9"/>
      <c r="D13" s="9"/>
      <c r="E13" s="9"/>
      <c r="F13" s="7">
        <f>SUM(F4:F9)</f>
        <v>0</v>
      </c>
    </row>
  </sheetData>
  <mergeCells count="5">
    <mergeCell ref="A2:F2"/>
    <mergeCell ref="A11:F11"/>
    <mergeCell ref="A12:F12"/>
    <mergeCell ref="A13:E13"/>
    <mergeCell ref="A3:F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1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9"/>
    </row>
    <row r="3" spans="1:6" x14ac:dyDescent="0.3">
      <c r="A3" s="8" t="s">
        <v>163</v>
      </c>
      <c r="B3" s="9"/>
      <c r="C3" s="9"/>
      <c r="D3" s="9"/>
      <c r="E3" s="9"/>
      <c r="F3" s="9"/>
    </row>
    <row r="4" spans="1:6" x14ac:dyDescent="0.3">
      <c r="A4" s="8" t="s">
        <v>164</v>
      </c>
      <c r="B4" s="9"/>
      <c r="C4" s="9"/>
      <c r="D4" s="9"/>
      <c r="E4" s="9"/>
      <c r="F4" s="9"/>
    </row>
    <row r="5" spans="1:6" x14ac:dyDescent="0.3">
      <c r="A5" s="2">
        <v>1</v>
      </c>
      <c r="B5" s="3" t="s">
        <v>165</v>
      </c>
      <c r="C5" s="4" t="s">
        <v>24</v>
      </c>
      <c r="D5" s="6">
        <v>7</v>
      </c>
      <c r="E5" s="6"/>
      <c r="F5" s="6">
        <f>D5*E5</f>
        <v>0</v>
      </c>
    </row>
    <row r="6" spans="1:6" x14ac:dyDescent="0.3">
      <c r="A6" s="2">
        <v>2</v>
      </c>
      <c r="B6" s="3" t="s">
        <v>166</v>
      </c>
      <c r="C6" s="4" t="s">
        <v>24</v>
      </c>
      <c r="D6" s="6">
        <v>6</v>
      </c>
      <c r="E6" s="6"/>
      <c r="F6" s="6">
        <f>D6*E6</f>
        <v>0</v>
      </c>
    </row>
    <row r="7" spans="1:6" x14ac:dyDescent="0.3">
      <c r="A7" s="2">
        <v>3</v>
      </c>
      <c r="B7" s="3" t="s">
        <v>167</v>
      </c>
      <c r="C7" s="4" t="s">
        <v>24</v>
      </c>
      <c r="D7" s="6">
        <v>1</v>
      </c>
      <c r="E7" s="6"/>
      <c r="F7" s="6">
        <f>D7*E7</f>
        <v>0</v>
      </c>
    </row>
    <row r="8" spans="1:6" x14ac:dyDescent="0.3">
      <c r="A8" s="8" t="s">
        <v>168</v>
      </c>
      <c r="B8" s="9"/>
      <c r="C8" s="9"/>
      <c r="D8" s="9"/>
      <c r="E8" s="9"/>
      <c r="F8" s="9"/>
    </row>
    <row r="9" spans="1:6" x14ac:dyDescent="0.3">
      <c r="A9" s="2">
        <v>4</v>
      </c>
      <c r="B9" s="3" t="s">
        <v>169</v>
      </c>
      <c r="C9" s="4" t="s">
        <v>16</v>
      </c>
      <c r="D9" s="6">
        <v>85</v>
      </c>
      <c r="E9" s="6"/>
      <c r="F9" s="6">
        <f>D9*E9</f>
        <v>0</v>
      </c>
    </row>
    <row r="10" spans="1:6" x14ac:dyDescent="0.3">
      <c r="A10" s="2">
        <v>5</v>
      </c>
      <c r="B10" s="3" t="s">
        <v>170</v>
      </c>
      <c r="C10" s="4" t="s">
        <v>16</v>
      </c>
      <c r="D10" s="6">
        <v>45</v>
      </c>
      <c r="E10" s="6"/>
      <c r="F10" s="6">
        <f>D10*E10</f>
        <v>0</v>
      </c>
    </row>
    <row r="11" spans="1:6" x14ac:dyDescent="0.3">
      <c r="A11" s="2">
        <v>6</v>
      </c>
      <c r="B11" s="3" t="s">
        <v>171</v>
      </c>
      <c r="C11" s="4" t="s">
        <v>24</v>
      </c>
      <c r="D11" s="6">
        <v>1</v>
      </c>
      <c r="E11" s="6"/>
      <c r="F11" s="6">
        <f>D11*E11</f>
        <v>0</v>
      </c>
    </row>
    <row r="12" spans="1:6" x14ac:dyDescent="0.3">
      <c r="A12" s="8" t="s">
        <v>172</v>
      </c>
      <c r="B12" s="9"/>
      <c r="C12" s="9"/>
      <c r="D12" s="9"/>
      <c r="E12" s="9"/>
      <c r="F12" s="9"/>
    </row>
    <row r="13" spans="1:6" x14ac:dyDescent="0.3">
      <c r="A13" s="2">
        <v>7</v>
      </c>
      <c r="B13" s="3" t="s">
        <v>173</v>
      </c>
      <c r="C13" s="4" t="s">
        <v>16</v>
      </c>
      <c r="D13" s="6">
        <v>62</v>
      </c>
      <c r="E13" s="6"/>
      <c r="F13" s="6">
        <f>D13*E13</f>
        <v>0</v>
      </c>
    </row>
    <row r="14" spans="1:6" x14ac:dyDescent="0.3">
      <c r="A14" s="2">
        <v>8</v>
      </c>
      <c r="B14" s="3" t="s">
        <v>174</v>
      </c>
      <c r="C14" s="4" t="s">
        <v>16</v>
      </c>
      <c r="D14" s="6">
        <v>32</v>
      </c>
      <c r="E14" s="6"/>
      <c r="F14" s="6">
        <f>D14*E14</f>
        <v>0</v>
      </c>
    </row>
    <row r="15" spans="1:6" x14ac:dyDescent="0.3">
      <c r="A15" s="2">
        <v>9</v>
      </c>
      <c r="B15" s="3" t="s">
        <v>175</v>
      </c>
      <c r="C15" s="4" t="s">
        <v>24</v>
      </c>
      <c r="D15" s="6">
        <v>4</v>
      </c>
      <c r="E15" s="6"/>
      <c r="F15" s="6">
        <f>D15*E15</f>
        <v>0</v>
      </c>
    </row>
    <row r="16" spans="1:6" x14ac:dyDescent="0.3">
      <c r="A16" s="10" t="s">
        <v>176</v>
      </c>
      <c r="B16" s="9"/>
      <c r="C16" s="9"/>
      <c r="D16" s="9"/>
      <c r="E16" s="9"/>
      <c r="F16" s="9"/>
    </row>
    <row r="17" spans="1:6" x14ac:dyDescent="0.3">
      <c r="A17" s="2">
        <v>10</v>
      </c>
      <c r="B17" s="3" t="s">
        <v>177</v>
      </c>
      <c r="C17" s="4" t="s">
        <v>16</v>
      </c>
      <c r="D17" s="6">
        <v>25</v>
      </c>
      <c r="E17" s="6"/>
      <c r="F17" s="6">
        <f>D17*E17</f>
        <v>0</v>
      </c>
    </row>
    <row r="18" spans="1:6" x14ac:dyDescent="0.3">
      <c r="A18" s="2">
        <v>11</v>
      </c>
      <c r="B18" s="3" t="s">
        <v>178</v>
      </c>
      <c r="C18" s="4" t="s">
        <v>24</v>
      </c>
      <c r="D18" s="6">
        <v>2</v>
      </c>
      <c r="E18" s="6"/>
      <c r="F18" s="6">
        <f>D18*E18</f>
        <v>0</v>
      </c>
    </row>
    <row r="19" spans="1:6" x14ac:dyDescent="0.3">
      <c r="A19" s="8" t="s">
        <v>179</v>
      </c>
      <c r="B19" s="9"/>
      <c r="C19" s="9"/>
      <c r="D19" s="9"/>
      <c r="E19" s="9"/>
      <c r="F19" s="9"/>
    </row>
    <row r="20" spans="1:6" x14ac:dyDescent="0.3">
      <c r="A20" s="8" t="s">
        <v>180</v>
      </c>
      <c r="B20" s="9"/>
      <c r="C20" s="9"/>
      <c r="D20" s="9"/>
      <c r="E20" s="9"/>
      <c r="F20" s="9"/>
    </row>
    <row r="21" spans="1:6" x14ac:dyDescent="0.3">
      <c r="A21" s="11" t="s">
        <v>34</v>
      </c>
      <c r="B21" s="9"/>
      <c r="C21" s="9"/>
      <c r="D21" s="9"/>
      <c r="E21" s="9"/>
      <c r="F21" s="7">
        <f>SUM(F5:F18)</f>
        <v>0</v>
      </c>
    </row>
  </sheetData>
  <mergeCells count="9">
    <mergeCell ref="A21:E21"/>
    <mergeCell ref="A2:F2"/>
    <mergeCell ref="A16:F16"/>
    <mergeCell ref="A19:F19"/>
    <mergeCell ref="A8:F8"/>
    <mergeCell ref="A12:F12"/>
    <mergeCell ref="A4:F4"/>
    <mergeCell ref="A3:F3"/>
    <mergeCell ref="A20:F2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9"/>
    </row>
    <row r="3" spans="1:6" x14ac:dyDescent="0.3">
      <c r="A3" s="8" t="s">
        <v>181</v>
      </c>
      <c r="B3" s="9"/>
      <c r="C3" s="9"/>
      <c r="D3" s="9"/>
      <c r="E3" s="9"/>
      <c r="F3" s="9"/>
    </row>
    <row r="4" spans="1:6" ht="28.8" x14ac:dyDescent="0.3">
      <c r="A4" s="2">
        <v>1</v>
      </c>
      <c r="B4" s="3" t="s">
        <v>182</v>
      </c>
      <c r="C4" s="4" t="s">
        <v>14</v>
      </c>
      <c r="D4" s="5"/>
      <c r="E4" s="6"/>
      <c r="F4" s="5"/>
    </row>
    <row r="5" spans="1:6" x14ac:dyDescent="0.3">
      <c r="A5" s="8" t="s">
        <v>183</v>
      </c>
      <c r="B5" s="9"/>
      <c r="C5" s="9"/>
      <c r="D5" s="9"/>
      <c r="E5" s="9"/>
      <c r="F5" s="9"/>
    </row>
    <row r="6" spans="1:6" x14ac:dyDescent="0.3">
      <c r="A6" s="8" t="s">
        <v>184</v>
      </c>
      <c r="B6" s="9"/>
      <c r="C6" s="9"/>
      <c r="D6" s="9"/>
      <c r="E6" s="9"/>
      <c r="F6" s="9"/>
    </row>
  </sheetData>
  <mergeCells count="4">
    <mergeCell ref="A3:F3"/>
    <mergeCell ref="A2:F2"/>
    <mergeCell ref="A6:F6"/>
    <mergeCell ref="A5:F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7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9"/>
    </row>
    <row r="3" spans="1:6" x14ac:dyDescent="0.3">
      <c r="A3" s="8" t="s">
        <v>185</v>
      </c>
      <c r="B3" s="9"/>
      <c r="C3" s="9"/>
      <c r="D3" s="9"/>
      <c r="E3" s="9"/>
      <c r="F3" s="9"/>
    </row>
    <row r="4" spans="1:6" x14ac:dyDescent="0.3">
      <c r="A4" s="8" t="s">
        <v>186</v>
      </c>
      <c r="B4" s="9"/>
      <c r="C4" s="9"/>
      <c r="D4" s="9"/>
      <c r="E4" s="9"/>
      <c r="F4" s="9"/>
    </row>
    <row r="5" spans="1:6" x14ac:dyDescent="0.3">
      <c r="A5" s="2">
        <v>1</v>
      </c>
      <c r="B5" s="3" t="s">
        <v>187</v>
      </c>
      <c r="C5" s="4" t="s">
        <v>24</v>
      </c>
      <c r="D5" s="6">
        <v>2</v>
      </c>
      <c r="E5" s="6"/>
      <c r="F5" s="6">
        <f>D5*E5</f>
        <v>0</v>
      </c>
    </row>
    <row r="6" spans="1:6" x14ac:dyDescent="0.3">
      <c r="A6" s="2">
        <v>2</v>
      </c>
      <c r="B6" s="3" t="s">
        <v>188</v>
      </c>
      <c r="C6" s="4" t="s">
        <v>24</v>
      </c>
      <c r="D6" s="6">
        <v>14</v>
      </c>
      <c r="E6" s="6"/>
      <c r="F6" s="6">
        <f>D6*E6</f>
        <v>0</v>
      </c>
    </row>
    <row r="7" spans="1:6" x14ac:dyDescent="0.3">
      <c r="A7" s="2">
        <v>3</v>
      </c>
      <c r="B7" s="3" t="s">
        <v>189</v>
      </c>
      <c r="C7" s="4" t="s">
        <v>16</v>
      </c>
      <c r="D7" s="6">
        <v>280</v>
      </c>
      <c r="E7" s="6"/>
      <c r="F7" s="6">
        <f>D7*E7</f>
        <v>0</v>
      </c>
    </row>
    <row r="8" spans="1:6" x14ac:dyDescent="0.3">
      <c r="A8" s="2">
        <v>4</v>
      </c>
      <c r="B8" s="3" t="s">
        <v>190</v>
      </c>
      <c r="C8" s="4" t="s">
        <v>16</v>
      </c>
      <c r="D8" s="6">
        <v>95</v>
      </c>
      <c r="E8" s="6"/>
      <c r="F8" s="6">
        <f>D8*E8</f>
        <v>0</v>
      </c>
    </row>
    <row r="9" spans="1:6" x14ac:dyDescent="0.3">
      <c r="A9" s="8" t="s">
        <v>191</v>
      </c>
      <c r="B9" s="9"/>
      <c r="C9" s="9"/>
      <c r="D9" s="9"/>
      <c r="E9" s="9"/>
      <c r="F9" s="9"/>
    </row>
    <row r="10" spans="1:6" x14ac:dyDescent="0.3">
      <c r="A10" s="2">
        <v>5</v>
      </c>
      <c r="B10" s="3" t="s">
        <v>192</v>
      </c>
      <c r="C10" s="4" t="s">
        <v>24</v>
      </c>
      <c r="D10" s="6">
        <v>3</v>
      </c>
      <c r="E10" s="6"/>
      <c r="F10" s="6">
        <f>D10*E10</f>
        <v>0</v>
      </c>
    </row>
    <row r="11" spans="1:6" x14ac:dyDescent="0.3">
      <c r="A11" s="2">
        <v>6</v>
      </c>
      <c r="B11" s="3" t="s">
        <v>193</v>
      </c>
      <c r="C11" s="4" t="s">
        <v>24</v>
      </c>
      <c r="D11" s="6">
        <v>1</v>
      </c>
      <c r="E11" s="6"/>
      <c r="F11" s="6">
        <f>D11*E11</f>
        <v>0</v>
      </c>
    </row>
    <row r="12" spans="1:6" x14ac:dyDescent="0.3">
      <c r="A12" s="2">
        <v>7</v>
      </c>
      <c r="B12" s="3" t="s">
        <v>194</v>
      </c>
      <c r="C12" s="4" t="s">
        <v>16</v>
      </c>
      <c r="D12" s="6">
        <v>36</v>
      </c>
      <c r="E12" s="6"/>
      <c r="F12" s="6">
        <f>D12*E12</f>
        <v>0</v>
      </c>
    </row>
    <row r="13" spans="1:6" x14ac:dyDescent="0.3">
      <c r="A13" s="8" t="s">
        <v>195</v>
      </c>
      <c r="B13" s="9"/>
      <c r="C13" s="9"/>
      <c r="D13" s="9"/>
      <c r="E13" s="9"/>
      <c r="F13" s="9"/>
    </row>
    <row r="14" spans="1:6" x14ac:dyDescent="0.3">
      <c r="A14" s="2">
        <v>8</v>
      </c>
      <c r="B14" s="3" t="s">
        <v>196</v>
      </c>
      <c r="C14" s="4" t="s">
        <v>14</v>
      </c>
      <c r="D14" s="5"/>
      <c r="E14" s="6"/>
      <c r="F14" s="5"/>
    </row>
    <row r="15" spans="1:6" x14ac:dyDescent="0.3">
      <c r="A15" s="8" t="s">
        <v>197</v>
      </c>
      <c r="B15" s="9"/>
      <c r="C15" s="9"/>
      <c r="D15" s="9"/>
      <c r="E15" s="9"/>
      <c r="F15" s="9"/>
    </row>
    <row r="16" spans="1:6" x14ac:dyDescent="0.3">
      <c r="A16" s="8" t="s">
        <v>198</v>
      </c>
      <c r="B16" s="9"/>
      <c r="C16" s="9"/>
      <c r="D16" s="9"/>
      <c r="E16" s="9"/>
      <c r="F16" s="9"/>
    </row>
    <row r="17" spans="1:6" x14ac:dyDescent="0.3">
      <c r="A17" s="11" t="s">
        <v>34</v>
      </c>
      <c r="B17" s="9"/>
      <c r="C17" s="9"/>
      <c r="D17" s="9"/>
      <c r="E17" s="9"/>
      <c r="F17" s="7">
        <f>SUM(F5:F12)</f>
        <v>0</v>
      </c>
    </row>
  </sheetData>
  <mergeCells count="8">
    <mergeCell ref="A17:E17"/>
    <mergeCell ref="A15:F15"/>
    <mergeCell ref="A2:F2"/>
    <mergeCell ref="A16:F16"/>
    <mergeCell ref="A13:F13"/>
    <mergeCell ref="A9:F9"/>
    <mergeCell ref="A4:F4"/>
    <mergeCell ref="A3:F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"/>
  <sheetViews>
    <sheetView tabSelected="1"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9"/>
    </row>
    <row r="3" spans="1:6" x14ac:dyDescent="0.3">
      <c r="A3" s="10" t="s">
        <v>199</v>
      </c>
      <c r="B3" s="9"/>
      <c r="C3" s="9"/>
      <c r="D3" s="9"/>
      <c r="E3" s="9"/>
      <c r="F3" s="9"/>
    </row>
    <row r="4" spans="1:6" ht="28.8" x14ac:dyDescent="0.3">
      <c r="A4" s="2">
        <v>1</v>
      </c>
      <c r="B4" s="3" t="s">
        <v>200</v>
      </c>
      <c r="C4" s="4" t="s">
        <v>24</v>
      </c>
      <c r="D4" s="6">
        <v>4</v>
      </c>
      <c r="E4" s="6"/>
      <c r="F4" s="6">
        <f>D4*E4</f>
        <v>0</v>
      </c>
    </row>
    <row r="5" spans="1:6" x14ac:dyDescent="0.3">
      <c r="A5" s="2">
        <v>2</v>
      </c>
      <c r="B5" s="3" t="s">
        <v>201</v>
      </c>
      <c r="C5" s="4" t="s">
        <v>14</v>
      </c>
      <c r="D5" s="5"/>
      <c r="E5" s="6"/>
      <c r="F5" s="5"/>
    </row>
    <row r="6" spans="1:6" x14ac:dyDescent="0.3">
      <c r="A6" s="8" t="s">
        <v>202</v>
      </c>
      <c r="B6" s="9"/>
      <c r="C6" s="9"/>
      <c r="D6" s="9"/>
      <c r="E6" s="9"/>
      <c r="F6" s="9"/>
    </row>
    <row r="7" spans="1:6" x14ac:dyDescent="0.3">
      <c r="A7" s="8" t="s">
        <v>203</v>
      </c>
      <c r="B7" s="9"/>
      <c r="C7" s="9"/>
      <c r="D7" s="9"/>
      <c r="E7" s="9"/>
      <c r="F7" s="9"/>
    </row>
    <row r="8" spans="1:6" x14ac:dyDescent="0.3">
      <c r="A8" s="11" t="s">
        <v>34</v>
      </c>
      <c r="B8" s="9"/>
      <c r="C8" s="9"/>
      <c r="D8" s="9"/>
      <c r="E8" s="9"/>
      <c r="F8" s="7">
        <f>SUM(F4:F4)</f>
        <v>0</v>
      </c>
    </row>
  </sheetData>
  <mergeCells count="5">
    <mergeCell ref="A2:F2"/>
    <mergeCell ref="A6:F6"/>
    <mergeCell ref="A8:E8"/>
    <mergeCell ref="A3:F3"/>
    <mergeCell ref="A7:F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"/>
  <sheetViews>
    <sheetView workbookViewId="0"/>
  </sheetViews>
  <sheetFormatPr defaultRowHeight="14.4" x14ac:dyDescent="0.3"/>
  <cols>
    <col min="1" max="1" width="8" customWidth="1"/>
    <col min="2" max="2" width="80" customWidth="1"/>
    <col min="3" max="3" width="10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6</v>
      </c>
      <c r="B2" s="9"/>
      <c r="C2" s="9"/>
      <c r="D2" s="9"/>
      <c r="E2" s="9"/>
      <c r="F2" s="9"/>
    </row>
    <row r="3" spans="1:6" x14ac:dyDescent="0.3">
      <c r="A3" s="8" t="s">
        <v>203</v>
      </c>
      <c r="B3" s="9"/>
      <c r="C3" s="9"/>
      <c r="D3" s="9"/>
      <c r="E3" s="9"/>
      <c r="F3" s="9"/>
    </row>
    <row r="4" spans="1:6" x14ac:dyDescent="0.3">
      <c r="A4" s="2">
        <v>1</v>
      </c>
      <c r="B4" s="3" t="s">
        <v>204</v>
      </c>
      <c r="C4" s="4" t="s">
        <v>14</v>
      </c>
      <c r="D4" s="5"/>
      <c r="E4" s="6"/>
      <c r="F4" s="5"/>
    </row>
    <row r="5" spans="1:6" x14ac:dyDescent="0.3">
      <c r="A5" s="2">
        <v>2</v>
      </c>
      <c r="B5" s="3" t="s">
        <v>205</v>
      </c>
      <c r="C5" s="4" t="s">
        <v>14</v>
      </c>
      <c r="D5" s="5"/>
      <c r="E5" s="6"/>
      <c r="F5" s="5"/>
    </row>
    <row r="6" spans="1:6" x14ac:dyDescent="0.3">
      <c r="A6" s="2">
        <v>3</v>
      </c>
      <c r="B6" s="3" t="s">
        <v>206</v>
      </c>
      <c r="C6" s="4" t="s">
        <v>14</v>
      </c>
      <c r="D6" s="5"/>
      <c r="E6" s="6"/>
      <c r="F6" s="5"/>
    </row>
    <row r="7" spans="1:6" x14ac:dyDescent="0.3">
      <c r="A7" s="2">
        <v>4</v>
      </c>
      <c r="B7" s="3" t="s">
        <v>207</v>
      </c>
      <c r="C7" s="4" t="s">
        <v>14</v>
      </c>
      <c r="D7" s="5"/>
      <c r="E7" s="6"/>
      <c r="F7" s="5"/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S1B1 PRELIMINARIES</vt:lpstr>
      <vt:lpstr>S2B1 ALTERATIONS &amp; DEMOLITI</vt:lpstr>
      <vt:lpstr>S2B2 FOUNDATIONS</vt:lpstr>
      <vt:lpstr>S2B3 CONCRETE, FORMWORK &amp; R</vt:lpstr>
      <vt:lpstr>S2B4 MASONRY</vt:lpstr>
      <vt:lpstr>S2B5 STRUCTURAL STEELWORK</vt:lpstr>
      <vt:lpstr>S2B6 UNKNOWN</vt:lpstr>
      <vt:lpstr>S2B7 RAINWATER GOODS</vt:lpstr>
      <vt:lpstr>S2B8 UNKNOWN</vt:lpstr>
      <vt:lpstr>S2B9 UNKNOWN</vt:lpstr>
      <vt:lpstr>S2B10 EXTERNAL DOORS</vt:lpstr>
      <vt:lpstr>S2B11 FLOOR FINISHES</vt:lpstr>
      <vt:lpstr>S2B12 WALL FINISHES</vt:lpstr>
      <vt:lpstr>S2B13 UNKNOWN</vt:lpstr>
      <vt:lpstr>S2B14 NEW CEILINGS</vt:lpstr>
      <vt:lpstr>S2B15 INTERNAL DOORS</vt:lpstr>
      <vt:lpstr>S2B16 FIXED JOINERY</vt:lpstr>
      <vt:lpstr>S2B17 IRONMONGERY</vt:lpstr>
      <vt:lpstr>S3B1 PLUMBING &amp; DRAINAGE</vt:lpstr>
      <vt:lpstr>S4B1 ELECTRICAL INSTALLATI</vt:lpstr>
      <vt:lpstr>S5B1 MECHANICAL INSTALLATI</vt:lpstr>
      <vt:lpstr>S6B1 SECTION NO. 7</vt:lpstr>
      <vt:lpstr>S7B1 PROVISIONAL SUMS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2025-12-15T13:44:48Z</dcterms:created>
  <dcterms:modified xsi:type="dcterms:W3CDTF">2025-12-15T14:57:05Z</dcterms:modified>
</cp:coreProperties>
</file>