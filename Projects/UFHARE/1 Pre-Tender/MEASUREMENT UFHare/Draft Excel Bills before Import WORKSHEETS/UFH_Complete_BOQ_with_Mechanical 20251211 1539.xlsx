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
    </mc:Choice>
  </mc:AlternateContent>
  <xr:revisionPtr revIDLastSave="0" documentId="13_ncr:1_{37105A45-7B5E-4CBC-8F8D-50E82AB0C503}" xr6:coauthVersionLast="47" xr6:coauthVersionMax="47" xr10:uidLastSave="{00000000-0000-0000-0000-000000000000}"/>
  <bookViews>
    <workbookView xWindow="-28920" yWindow="-120" windowWidth="29040" windowHeight="15720" firstSheet="14" activeTab="19" xr2:uid="{00000000-000D-0000-FFFF-FFFF00000000}"/>
  </bookViews>
  <sheets>
    <sheet name="Contents" sheetId="1" r:id="rId1"/>
    <sheet name="Bill Summary" sheetId="2" r:id="rId2"/>
    <sheet name="Preambles" sheetId="3" r:id="rId3"/>
    <sheet name="Bill 18 - Preliminaries" sheetId="4" r:id="rId4"/>
    <sheet name="Bill 1 - Alterations" sheetId="5" r:id="rId5"/>
    <sheet name="Bill 2 - Foundations" sheetId="6" r:id="rId6"/>
    <sheet name="Bill 3 - Concrete" sheetId="7" r:id="rId7"/>
    <sheet name="Bill 4 - Brickwork" sheetId="8" r:id="rId8"/>
    <sheet name="Bill 5 - Steelwork" sheetId="9" r:id="rId9"/>
    <sheet name="Bill 6 - Surface Beds" sheetId="10" r:id="rId10"/>
    <sheet name="Bill 7 - Roofs" sheetId="11" r:id="rId11"/>
    <sheet name="Bill 8 - External Finishes" sheetId="12" r:id="rId12"/>
    <sheet name="Bill 9 - Floor Finishes" sheetId="13" r:id="rId13"/>
    <sheet name="Bill 10 - Wall Finishes" sheetId="14" r:id="rId14"/>
    <sheet name="Bill 11 - Ceilings" sheetId="15" r:id="rId15"/>
    <sheet name="Bill 12 - Doors" sheetId="16" r:id="rId16"/>
    <sheet name="Bill 13 - Windows" sheetId="17" r:id="rId17"/>
    <sheet name="Bill 14 - Joinery" sheetId="18" r:id="rId18"/>
    <sheet name="Bill 15 - External Works" sheetId="19" r:id="rId19"/>
    <sheet name="Query List" sheetId="20" r:id="rId20"/>
    <sheet name="Bill 16 - Sundries" sheetId="21" r:id="rId21"/>
    <sheet name="Bill 17 - Prov Sums" sheetId="22" r:id="rId22"/>
    <sheet name="Daywork Schedule" sheetId="23" r:id="rId23"/>
    <sheet name="Bill 19 - Plumbing" sheetId="24" r:id="rId24"/>
    <sheet name="Bill 20 - Mechanical HVAC"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 i="13" l="1"/>
  <c r="F98" i="13" s="1"/>
  <c r="F85" i="13"/>
  <c r="F82" i="13"/>
  <c r="F80" i="13"/>
  <c r="F78" i="13"/>
  <c r="F90" i="13" s="1"/>
  <c r="F73" i="13"/>
  <c r="F71" i="13"/>
  <c r="F97" i="13" s="1"/>
  <c r="F68" i="13"/>
  <c r="F61" i="13"/>
  <c r="F59" i="13"/>
  <c r="F57" i="13"/>
  <c r="F54" i="13"/>
  <c r="F51" i="13"/>
  <c r="F49" i="13"/>
  <c r="F63" i="13" s="1"/>
  <c r="F96" i="13" s="1"/>
  <c r="F44" i="13"/>
  <c r="F95" i="13" s="1"/>
  <c r="F100" i="13" s="1"/>
  <c r="F42" i="13"/>
  <c r="F40" i="13"/>
  <c r="F38" i="13"/>
  <c r="F35" i="13"/>
  <c r="F32" i="13"/>
  <c r="F30" i="13"/>
  <c r="F120" i="6"/>
  <c r="F110" i="6"/>
  <c r="F108" i="6"/>
  <c r="F112" i="6" s="1"/>
  <c r="F122" i="6" s="1"/>
  <c r="F101" i="6"/>
  <c r="F119" i="6" s="1"/>
  <c r="F98" i="6"/>
  <c r="F103" i="6" s="1"/>
  <c r="F93" i="6"/>
  <c r="F118" i="6" s="1"/>
  <c r="F91" i="6"/>
  <c r="F89" i="6"/>
  <c r="F86" i="6"/>
  <c r="F84" i="6"/>
  <c r="F82" i="6"/>
  <c r="F80" i="6"/>
  <c r="F78" i="6"/>
  <c r="F75" i="6"/>
  <c r="F73" i="6"/>
  <c r="F71" i="6"/>
  <c r="F69" i="6"/>
  <c r="F66" i="6"/>
  <c r="F64" i="6"/>
  <c r="F62" i="6"/>
  <c r="F59" i="6"/>
  <c r="F57" i="6"/>
  <c r="F55" i="6"/>
  <c r="F50" i="6"/>
  <c r="F117" i="6" s="1"/>
  <c r="F48" i="6"/>
  <c r="F46" i="6"/>
  <c r="F44" i="6"/>
  <c r="F41" i="6"/>
  <c r="F39" i="6"/>
  <c r="F37" i="6"/>
  <c r="F35" i="6"/>
  <c r="F32" i="6"/>
  <c r="F96" i="5"/>
  <c r="F92" i="5"/>
  <c r="C92" i="5"/>
  <c r="F90" i="5"/>
  <c r="F88" i="5"/>
  <c r="F86" i="5"/>
  <c r="F82" i="5"/>
  <c r="F80" i="5"/>
  <c r="F78" i="5"/>
  <c r="F76" i="5"/>
  <c r="F74" i="5"/>
  <c r="F70" i="5"/>
  <c r="C70" i="5"/>
  <c r="F68" i="5"/>
  <c r="F66" i="5"/>
  <c r="F62" i="5"/>
  <c r="C62" i="5"/>
  <c r="F60" i="5"/>
  <c r="F58" i="5"/>
  <c r="F56" i="5"/>
  <c r="F54" i="5"/>
  <c r="F48" i="5"/>
  <c r="F46" i="5"/>
  <c r="F44" i="5"/>
  <c r="F42" i="5"/>
  <c r="C38" i="5"/>
  <c r="F37" i="5"/>
  <c r="F35" i="5"/>
  <c r="F33" i="5"/>
  <c r="F50" i="5" s="1"/>
  <c r="F31" i="5"/>
  <c r="F29" i="5"/>
  <c r="F27" i="5"/>
  <c r="C23" i="5"/>
  <c r="F21" i="5"/>
  <c r="F19" i="5"/>
  <c r="F17" i="5"/>
  <c r="F15" i="5"/>
  <c r="F13" i="5"/>
  <c r="F11" i="5"/>
  <c r="F23" i="5" s="1"/>
  <c r="F38" i="5"/>
</calcChain>
</file>

<file path=xl/sharedStrings.xml><?xml version="1.0" encoding="utf-8"?>
<sst xmlns="http://schemas.openxmlformats.org/spreadsheetml/2006/main" count="1906" uniqueCount="1237">
  <si>
    <t>UNIVERSITY OF FORT HARE</t>
  </si>
  <si>
    <t>Finance Office Conversion - Alice Campus</t>
  </si>
  <si>
    <t>Bills of Quantities</t>
  </si>
  <si>
    <t>Revision: 2</t>
  </si>
  <si>
    <t>Date: 11 December 2025</t>
  </si>
  <si>
    <t>DOCUMENT CONTENTS:</t>
  </si>
  <si>
    <t>1. Preambles</t>
  </si>
  <si>
    <t>General and supplementary preambles</t>
  </si>
  <si>
    <t>2. Bill 1 - Alterations</t>
  </si>
  <si>
    <t>Demolitions and alterations (22 items)</t>
  </si>
  <si>
    <t>3. Bill 2 - Foundations</t>
  </si>
  <si>
    <t>Excavation and concrete foundations (32 items)</t>
  </si>
  <si>
    <t>4. Bill 3 - Concrete Structure</t>
  </si>
  <si>
    <t>Reinforced concrete elements</t>
  </si>
  <si>
    <t>5. Bill 4 - Brickwork</t>
  </si>
  <si>
    <t>Brick and block walls</t>
  </si>
  <si>
    <t>6. Bill 5 - Steelwork</t>
  </si>
  <si>
    <t>Structural steelwork (if applicable)</t>
  </si>
  <si>
    <t>7. Bill 6 - Surface Beds</t>
  </si>
  <si>
    <t>Concrete surface beds (23 items)</t>
  </si>
  <si>
    <t>8. Bill 7 - Roofs</t>
  </si>
  <si>
    <t>Roofs and rainwater disposal</t>
  </si>
  <si>
    <t>9. Bill 8 - External Finishes</t>
  </si>
  <si>
    <t>External wall finishes</t>
  </si>
  <si>
    <t>10. Bill 9 - Floor Finishes</t>
  </si>
  <si>
    <t>Internal floor finishes</t>
  </si>
  <si>
    <t>11. Bill 10 - Wall Finishes</t>
  </si>
  <si>
    <t>Internal wall finishes and tiling</t>
  </si>
  <si>
    <t>12. Bill 11 - Ceilings</t>
  </si>
  <si>
    <t>Ceiling finishes</t>
  </si>
  <si>
    <t>13. Bill 12 - Doors</t>
  </si>
  <si>
    <t>Doors, frames and ironmongery</t>
  </si>
  <si>
    <t>14. Bill 13 - Windows &amp; Shopfronts</t>
  </si>
  <si>
    <t>Windows and shopfronts</t>
  </si>
  <si>
    <t>15. Bill 14 - Joinery &amp; Fittings</t>
  </si>
  <si>
    <t>Built-in joinery and fittings</t>
  </si>
  <si>
    <t>16. Bill 15 - External Works</t>
  </si>
  <si>
    <t>External paving and works</t>
  </si>
  <si>
    <t>17. Query List</t>
  </si>
  <si>
    <t>Outstanding information requirements</t>
  </si>
  <si>
    <t>PROJECT NOTES:</t>
  </si>
  <si>
    <t>• All quantities are provisional and subject to site verification</t>
  </si>
  <si>
    <t>• Refer to Query List for outstanding information requirements</t>
  </si>
  <si>
    <t>• Structural drawings: S-01 series Rev A-E (received 10-12-2025)</t>
  </si>
  <si>
    <t>• Architectural drawings: A-series (73MB package received)</t>
  </si>
  <si>
    <t>• Surface beds (30 MPa structural concrete) - thickness and extent TBC</t>
  </si>
  <si>
    <t>• Foundation aggregate size: 26mm per structural specification</t>
  </si>
  <si>
    <t>• Defects liability: Building works 3 months, Services 12 months</t>
  </si>
  <si>
    <t>• Measurement standard: SSMW7 (Standard System of Measuring Building Work Ed.7)</t>
  </si>
  <si>
    <t>SUMMARY OF BILLS</t>
  </si>
  <si>
    <t>University of Fort Hare - Finance Office Conversion</t>
  </si>
  <si>
    <t>Bill No.</t>
  </si>
  <si>
    <t>Description</t>
  </si>
  <si>
    <t>Amount (R)</t>
  </si>
  <si>
    <t>Bill 0</t>
  </si>
  <si>
    <t>Preliminaries and General Items</t>
  </si>
  <si>
    <t>Bill 1</t>
  </si>
  <si>
    <t>Alterations and Demolitions</t>
  </si>
  <si>
    <t>Bill 2</t>
  </si>
  <si>
    <t>Foundations</t>
  </si>
  <si>
    <t>Bill 3</t>
  </si>
  <si>
    <t>Reinforced Concrete Structure</t>
  </si>
  <si>
    <t>Bill 4</t>
  </si>
  <si>
    <t>Brickwork</t>
  </si>
  <si>
    <t>Bill 5</t>
  </si>
  <si>
    <t>Steelwork</t>
  </si>
  <si>
    <t>Bill 6</t>
  </si>
  <si>
    <t>Surface Beds</t>
  </si>
  <si>
    <t>Bill 7</t>
  </si>
  <si>
    <t>Roofs and Rainwater Disposal</t>
  </si>
  <si>
    <t>Bill 8</t>
  </si>
  <si>
    <t>External Finishes</t>
  </si>
  <si>
    <t>Bill 9</t>
  </si>
  <si>
    <t>Internal Floor Finishes</t>
  </si>
  <si>
    <t>Bill 10</t>
  </si>
  <si>
    <t>Internal Wall Finishes</t>
  </si>
  <si>
    <t>Bill 11</t>
  </si>
  <si>
    <t>Ceilings</t>
  </si>
  <si>
    <t>Bill 12</t>
  </si>
  <si>
    <t>Doors, Frames and Ironmongery</t>
  </si>
  <si>
    <t>Bill 13</t>
  </si>
  <si>
    <t>Windows and Shopfronts</t>
  </si>
  <si>
    <t>Bill 14</t>
  </si>
  <si>
    <t>Joinery and Fittings</t>
  </si>
  <si>
    <t>Bill 15</t>
  </si>
  <si>
    <t>External Works</t>
  </si>
  <si>
    <t>Bill 16</t>
  </si>
  <si>
    <t>Sundries and Metalwork</t>
  </si>
  <si>
    <t>Bill 17</t>
  </si>
  <si>
    <t>Provisional and PC Sums</t>
  </si>
  <si>
    <t>Bill 20</t>
  </si>
  <si>
    <t>Mechanical HVAC Installation</t>
  </si>
  <si>
    <t>SUB-TOTAL</t>
  </si>
  <si>
    <t>Add Contingencies (10%)</t>
  </si>
  <si>
    <t>TOTAL EXCLUDING VAT</t>
  </si>
  <si>
    <t>Add VAT (15%)</t>
  </si>
  <si>
    <t>GRAND TOTAL INCLUDING VAT</t>
  </si>
  <si>
    <t>PREAMBLES</t>
  </si>
  <si>
    <t>BILL NO.1 : ALTERATIONS</t>
  </si>
  <si>
    <t>Tenderers are advised to study the "Construction Works: Specification" attached which forms part of this contract.</t>
  </si>
  <si>
    <t>SUPPLEMENTARY PREAMBLES</t>
  </si>
  <si>
    <t>Limited space for contractor's yard:</t>
  </si>
  <si>
    <t>Tenderers are to take careful note of the restricted space on site available for establishing the contractor's offices, yard and materials store. Any damage to site landscaping, grassing, trees and services is to be made good by the contractor on completion of the works.</t>
  </si>
  <si>
    <t>Defects Liability period:</t>
  </si>
  <si>
    <t>The defect liability period on building and electrical work is three (3) months from the date of Works Completion.</t>
  </si>
  <si>
    <t>The defect liability period on mechanical plant and electrical equipment is twelve (12) months from the date of Works Completion.</t>
  </si>
  <si>
    <t>The defect liability period on civil works and external works is twelve (12) months from the date of Works Completion.</t>
  </si>
  <si>
    <t>Disturbance, movement and safety, disposal of material, matching materials:</t>
  </si>
  <si>
    <t>The contractor shall carry out the whole of the works with as little untidiness and noise as possible and with a minimum of disturbance to tenants of the building and adjoining premises and their tenants. The contractor shall provide proper protection and erect and remove, when directed, any temporary tarpaulins that may be necessary during the progress of the works, all to the satisfaction of the principal agent.</t>
  </si>
  <si>
    <t>The contractor shall take all precautions to prevent any nuisance from dust whilst carrying out the work. The contractor is to provide water and supply same by sprinkling with a hose or other approved means to prevent or allow any nuisance arising from dust, etc., during all demolition work.</t>
  </si>
  <si>
    <t>The contractor shall ensure that all work and movement of workers is strictly controlled to ensure the absolute safety of the staff and the public at all times. Risk assessments are to be carried out regularly and reported to the principal agent. The requirements of the Health &amp; Safety Act are to be complied with in all aspects.</t>
  </si>
  <si>
    <t>The contractor's attention is specifically drawn to the correct removal and disposal of all the different materials, in a manner that will not negatively affect the environment.</t>
  </si>
  <si>
    <t>This is an alterations contract and the contractor is required, unless otherwise stated, to match new materials to existing.</t>
  </si>
  <si>
    <t>Removal of asbestos cement products:</t>
  </si>
  <si>
    <t>All work related to the removal, labelling, packaging, transportation, storage and disposal of any asbestos products can only be done by a registered asbestos handling contractor and shall be carried out in strict accordance with "Asbestos Regulations" as laid down in the Occupational Health and Safety Act and Regulations (Act 85 of 1993)</t>
  </si>
  <si>
    <t>Protection of buildings and equipment:</t>
  </si>
  <si>
    <t>In taking down and removing existing work the utmost care shall be observed to prevent any structural or other damage to remaining portions of the building and the contractor shall provide all shoring, needling, strutting, etc. to ensure the stability of all structures during alteration work.</t>
  </si>
  <si>
    <t>The contractor shall ensure that all client's equipment and furniture is protected from damage and dust during this process by covering with plastic sheet screens and all other means required.</t>
  </si>
  <si>
    <t>Unless otherwise stated, the contractor shall not remove or interfere with any furniture, fittings or similar articles belonging to the employer and/or their staff without proper prior consultation.</t>
  </si>
  <si>
    <t>Building and plaster sands:</t>
  </si>
  <si>
    <t>The contractor must protect all work not removed such as walls, floors, doors, windows, fittings, etc. from damage during the progress of the work and provide all necessary materials for doing so.</t>
  </si>
  <si>
    <t>Special care shall be exercised during the progress of the  work to ensure that any electrical installations, water supply pipes, telephone and other services which may be encountered are not interfered and notice shall be given to the principal agent  if and when disconnection or alterations become necessary.</t>
  </si>
  <si>
    <t>Materials from the alterations, credit , etc.:</t>
  </si>
  <si>
    <t>Unless otherwise described at site handover, all materials arising from the demolitions and alterations are to become the property of the contractor and he is to allow a credit for the same as provided for on the final summary page. These materials including all rubbish and debris shall be immediately carted away and the site left clean and unencumbered. None of the old bricks from the demolitions are to be re-used for any new brickwork.</t>
  </si>
  <si>
    <t>Air-conditioning condensers, air handlers, split units, window units and other HVAC equipment; all kitchen equipment and all other items identified by the user clent or principal agent at site handover will remain the property of the South African Police Service and is to be carefully removed, temporarily stored, protected, wrapped where necessary, transported to and handed over to the DPW representative at the DPW Stores, Harrower Road, North End, Port Elizabeth. Written confirmation of acceptance of the items is to be obtained from the DPW representative and a copy submitted to the Principal Agent.</t>
  </si>
  <si>
    <t>Materials described as 'set aside for re-use' shall be carefully dismantled where necessary, cleaned, neatly stored under cover and protected from damage until required for re-use. Any damage caused to such materials during removal, storage or fixing shall be made good at the contractor's expense.</t>
  </si>
  <si>
    <t>The contractor shall be responsible for the removal from the site of all materials, debris and rubbish resulting from the alterations. These are to be disposed of only at approved disposal sites to be located by the contractor.</t>
  </si>
  <si>
    <t>Making good damaged work:</t>
  </si>
  <si>
    <t>The contractor shall make good in all trades to existing and adjacent work where damaged or disturbed through the alterations with all necessary new materials to match existing and leave complete and perfect in every respect.</t>
  </si>
  <si>
    <t>Forming new openings or altering openings in existing walls:</t>
  </si>
  <si>
    <t>Descriptions of forming new openings or altering openings in existing walls shall be deemed to include breaking out for and forming new brick, breaking out in drywall partitioning, in-situ concrete or prestressed concrete lintels including all reinforcement, formwork, turning pieces, etc., building up jambs or portions of openings as described with brickwork or blockwork properly toothed and bonded to existing, building cavities of hollow walls solid where necessary and making good finishes all round on both sides and into reveals.</t>
  </si>
  <si>
    <t>Building up openings:</t>
  </si>
  <si>
    <t>Descriptions of building up existing openings where given in number shall be deemed to include preparing existing surfaces all round, brickwork or blockwork properly toothed and bonded to existing, making good in drywall partitions, wedging up and pinning and making good finishes on both sides as described.</t>
  </si>
  <si>
    <t>CONTAINERS</t>
  </si>
  <si>
    <t>Supply and maintenance of containers as client stores:</t>
  </si>
  <si>
    <t>Provide 12m long steel storage container placed and levelled where directed on site to serve as client's store for the duration of the contract including maintenance and removal from site at the end of the project.</t>
  </si>
  <si>
    <t>1800mm High temporary site fencing to be erected around container yard comprising 100mm timber poles and welded mesh fencing including removal at completion of the project and making good in all trades.</t>
  </si>
  <si>
    <t>TEMPORARY SUPPORT</t>
  </si>
  <si>
    <t>Temporary propping and support of slabs including removal on completion:</t>
  </si>
  <si>
    <t>Temporary support of reinforced concrete slabs 255mm thick exceeding 3,5m and not exceeding 5m high as required for removal of half brick outer skin of cavity wall including removal of propping on completion</t>
  </si>
  <si>
    <t>Temporary support of soffit of 350mm wide ring beam exceeding 3,5m and not exceeding 5m high as required for removal of half brick outer skin of cavity wall including removal of propping on completion</t>
  </si>
  <si>
    <t>Temporary support of one brick walls in panels of approximately 4000 x 5000mm high in existing building between new columns to be inserted into existing one brick walls, with support to remain in place until the columns and beams are cured, formwork is stripped and one brick walls in patching have been built to stabilise the structure (Note: timber roof structure with steel sheeting will be removed prior to the process described above).</t>
  </si>
  <si>
    <t>DEMOLITION OF BUILDINGS</t>
  </si>
  <si>
    <t>Demolition of Refuse Area building:</t>
  </si>
  <si>
    <t>Break down Refuse Area building comprising concrete foundations and surface bed and one brick walls with IBR profile mild steel roof sheeting on timber rafters, size 6000 x 1610 2380mm high and remove to a suitable disposal site to be located by the contractor.</t>
  </si>
  <si>
    <t>DEMOLITIONS</t>
  </si>
  <si>
    <t>Take up/off/down/out and remove to a suitable disposal site to be located by the contractor:</t>
  </si>
  <si>
    <t>Dig up, break out and remove boundary wall foundation comprising one brick foundation wall 700mm deep with 700 x 300mm mass concrete strip footing with overall excavation depth 1000mm.</t>
  </si>
  <si>
    <t>Take up 100mm thick concrete surface bed.</t>
  </si>
  <si>
    <t>Take down 255mm thick concrete slabs.</t>
  </si>
  <si>
    <t>Take out 230 x 450mm high concrete beam in confined spaces.</t>
  </si>
  <si>
    <t>Take out concrete steps size 1550 x 250 x 150mm high.</t>
  </si>
  <si>
    <t>Take out half brick outer skin from one brick cavity wall façade of building in panels to heights not exceeding 12m with wire ties with care being taken not to disturb or dislodge the remaining brickwork.</t>
  </si>
  <si>
    <t>Take out half brick wall.</t>
  </si>
  <si>
    <t>Take out one brick wall.</t>
  </si>
  <si>
    <t>Take out one brick wall in confined spaces.</t>
  </si>
  <si>
    <t>Take up waterproofing membrane and including making good to screed and falls, and prepare for new waterproofing.</t>
  </si>
  <si>
    <t>Taking out and removing doors and windows from half brick walls including making good reveals, thresholds, cills, etc. and preparing to receive aluminium windows (elsewhere measured):</t>
  </si>
  <si>
    <t>Steel door frame not exceeding 2,5m².</t>
  </si>
  <si>
    <t>Taking out and removing doors and windows from one brick walls including making good reveals, thresholds, cills, etc. and preparing to receive aluminium windows (elsewhere measured):</t>
  </si>
  <si>
    <t>Taking out and removing doors and windows from 380mm cavity walls including making good reveals, thresholds, cills, etc. and preparing to receive aluminium windows (elsewhere measured):</t>
  </si>
  <si>
    <t>Glazed steel window not exceeding 2,5m².</t>
  </si>
  <si>
    <t>Glazed steel window exceeding 2,5m² and not exceeding 5m².</t>
  </si>
  <si>
    <t>Steel door frame exceeding 2,5m² and not exceeding 5m².</t>
  </si>
  <si>
    <t>Timber double door and frame exceeding 2,5m² and not exceeding 5m².</t>
  </si>
  <si>
    <t>Glazed aluminium shopfront exceeding 2,5m² and not exceeding 5m².</t>
  </si>
  <si>
    <t>Glazed aluminium shopfront exceeding 25m² and not exceeding 30m².</t>
  </si>
  <si>
    <t>Take off galvanised iron roof sheeting and all accessories.</t>
  </si>
  <si>
    <t>Take off asbestos cement profiled roof sheeting and all accessories by an approved hazardous material removal specialist including disposal in full accordance with all regulations.</t>
  </si>
  <si>
    <t>Take off entire timber roof structure including wall plates, trusses, bracing, purlins, runners, gang boarding to the …. with roof structure of approximate overall size 41400 x 10200 x 2000mm high and 11m above ground level.</t>
  </si>
  <si>
    <t>Take off entire timber roof structure including wall plates, trusses, bracing, purlins, runners, gang boarding to the... with roof structure of approximate overall size 41400 x 10200 x 2000mm high and 11m above ground level.</t>
  </si>
  <si>
    <t>Take off entire timber roof structure including wall plates, trusses, bracing, purlins, runners, gang boarding to the ... with roof structure of approximate overall size 32000 x 11800 x 2000mm high and 11m above ground level.</t>
  </si>
  <si>
    <t>Take off entire timber roof structure including wall plates, trusses, bracing, purlins, runners, gang boarding to the…. with roof structure of approximate overall size 52500 x 10400 x 2000mm high and 11m above ground level.</t>
  </si>
  <si>
    <t>Take off entire timber roof structure including wall plates, trusses, bracing, purlins, runners, gang boarding to the ... with roof structure of approximate overall size 50000 x 10800 x 2000mm high and 11m above ground level.</t>
  </si>
  <si>
    <t>Remove Mono pitched timber roof structure incl trusses, purlins, bracing and wallplates from building size 10340 x 5500 x 4250mm high at eaves level (MS).</t>
  </si>
  <si>
    <t>Remove Mono pitched timber roof structure incl trusses, purlins, bracing and wallplates from building size 4360 x 3275 x 4250mm high at eaves level (MS).</t>
  </si>
  <si>
    <t>Remove Mono pitched timber roof structure incl trusses, purlins, bracing and wallplates from building size 5400 x 4029 x 4250mm high at eaves level (MS).</t>
  </si>
  <si>
    <t>Remove double pitched timber roof structure incl trusses, purlins, bracing and wallplates from building size 18774 x 6515 x 4250mm high at eaves level (MS).</t>
  </si>
  <si>
    <t>Remove double pitched timber roof structure incl trusses, purlins, bracing and wallplates from building size 8597 x 9648 x 4250mm high at eaves level (MS).</t>
  </si>
  <si>
    <t>Remove double pitched timber roof structure incl trusses, purlins, bracing and wallplates from building size 18903 x 10855 x 4250mm high at eaves level (MS).</t>
  </si>
  <si>
    <t>Take off  50 x 75mm timber purlins.</t>
  </si>
  <si>
    <t>Take down and remove 15 x 225mm asbestos cement fascia boards by an approved hazardous material removal specialist including disposal in full accordance with all regulations.</t>
  </si>
  <si>
    <t>Take down and remove 15 x 300mm asbestos cement bargeboard by an approved hazardous material removal specialist including disposal in full accordance with all regulations.</t>
  </si>
  <si>
    <t>Take down and remove 25 x 300mm timber fascia or bargeboards.</t>
  </si>
  <si>
    <t>Take down and remove 6mm thick asbestos cement eaves closure boarding and timber brandering by an approved hazardous material removal specialist including disposal in full accordance with all regulations.</t>
  </si>
  <si>
    <t>Take out 70 x 100mm timber door frame.</t>
  </si>
  <si>
    <t>Take out framed, ledged, braced and battened double door size 1650 x 2032mm high.</t>
  </si>
  <si>
    <t>Take out door size 813 x 2032mm high (a).</t>
  </si>
  <si>
    <t>Take out door size 860 x 2032mm high (a).</t>
  </si>
  <si>
    <t>Take out double door size 1400 x 2100mm high.</t>
  </si>
  <si>
    <t>Take out double door size 1612 x 2032mm high.</t>
  </si>
  <si>
    <t>Take out double door size 1650 x 2032mm high (a).</t>
  </si>
  <si>
    <t>Take out glazed timber door with sidelight and fanlight, size 2350 x 2450mm high (a).</t>
  </si>
  <si>
    <t>Take out glazed timber double door with sidelights and fanlight, size 3350 x 2450mm high (a).</t>
  </si>
  <si>
    <t>Take out double door to interior timber cupboard, size 1000 x 2010mm high.</t>
  </si>
  <si>
    <t>Take out existing timber flooring on 50 x 50mm battens for removal and make good for all trades.</t>
  </si>
  <si>
    <t>Take out timber skirting boards.</t>
  </si>
  <si>
    <t>Take up timber parquet flooring.</t>
  </si>
  <si>
    <t>Take out timber raked Lecture Room seating comprising laminated timber sheeting fixed to timber frame, size overall 10000 x 6000 x 2000mm high.</t>
  </si>
  <si>
    <t>Take out timber wall unit with doors and shelving, size approximately 600 x 1275mm high.</t>
  </si>
  <si>
    <t>Take out timber wall unit with doors and shelving, size approximately 300 x 900mm high.  3700</t>
  </si>
  <si>
    <t>Take out timber floor unit with drawers, doors and shelving, size 600 x 1000mm high.</t>
  </si>
  <si>
    <t>Take out timber floor unit with drawers, doors and shelving, size approximately 900 x 700mm high.</t>
  </si>
  <si>
    <t>Take out timber floor unit with drawers, doors and shelving, size approximately 600 x 760mm high.</t>
  </si>
  <si>
    <t>Take out timber floor unit with drawers, doors and shelving, size approximately 600 x 1000mm high.</t>
  </si>
  <si>
    <t>Take out timber worktops 600 mm wide.</t>
  </si>
  <si>
    <t>Take out timber bedside cabinet, size 550 x 600 x 600mm high.</t>
  </si>
  <si>
    <t>Take out timber shelf unit, size 1200mm x 450 x 2235mm high.</t>
  </si>
  <si>
    <t>Take out timber bookshelf unit, size 1800mm x 300 x 1535mm high.</t>
  </si>
  <si>
    <t>Take out timber bookshelf unit, size 3610mm x 300 x 1535mm high.</t>
  </si>
  <si>
    <t>Take out timber wall mounted L-shaped bookshelf unit, size 3700mm girth x 600 x 1275mm high.</t>
  </si>
  <si>
    <t>Take out timber wall mounted L-shaped bookshelf unit, size 3900mm girth x 600 x 1275mm high.</t>
  </si>
  <si>
    <t>Take out timber TV counter, size 2000 x 600 x 500mm high.</t>
  </si>
  <si>
    <t>Take out timber bed bunk size 2100 x 1000 x 500mm high (p).</t>
  </si>
  <si>
    <t>Take out timber bed bunk with large drawer size 2100 x 1000 x 500mm high.</t>
  </si>
  <si>
    <t>Take out timber vanity counter, size 2990 x  600 x 750mm high.</t>
  </si>
  <si>
    <t>Take out timber study desk, size 1300 x 600 x 750mm high.</t>
  </si>
  <si>
    <t>Take out timber study desk, size 1700 x 600 x 750mm high.</t>
  </si>
  <si>
    <t>Take out timber study desk with cupboard, size 1360 x 600 x 2785mm high.</t>
  </si>
  <si>
    <t>Take out high level L-shaped storage cupboard, size 4535 x 1200 x 1275mm high.</t>
  </si>
  <si>
    <t>Take out cupboard with shelves and single door, size 550 x 600 x 2785mm high.</t>
  </si>
  <si>
    <t>Take out cupboard with shelves and two doors, size 1000 x 350 x 2100mm high.</t>
  </si>
  <si>
    <t>Take out cupboard with shelves and four doors, size 1100 x 600 x 2785mm high.</t>
  </si>
  <si>
    <t>Take out cupboard with shelves and two doors built into walls forming irregular shape, size 1498 x 617 x 2125mm high.</t>
  </si>
  <si>
    <t>Take out  cupboard unit with shelves and four doors. size 900 x 600 x 3115mm high.</t>
  </si>
  <si>
    <t>Take out cupboard unit with shelves and four doors. size 1310 x 600 x 3115mm high.</t>
  </si>
  <si>
    <t>Take out cupboard unit with shelves and four doors. size 1500 x 600 x 3115mm high.</t>
  </si>
  <si>
    <t>Take out cupboard unit with shelves and six doors. size 1800 x 600 x 3115mm high.</t>
  </si>
  <si>
    <t>Take out cupboard unit with shelves and eight doors. size 2220 x 600 x 3115mm high.</t>
  </si>
  <si>
    <t>Take out cupboard unit with shelves and eight doors. size 2600 x 600 x 2600mm high.</t>
  </si>
  <si>
    <t>Take out cupboard unit with shelves and six doors. size 3770 x 600 x 2100mm high.</t>
  </si>
  <si>
    <t>Take out cupboard unit with shelves and six doors. size 3850 x 600 x 2100mm high.</t>
  </si>
  <si>
    <t>Take out combination bookshelf and cupboard with shelves and four doors. size 2525 x 600 x 2610mm high overall.</t>
  </si>
  <si>
    <t>Take out combination bookshelf and cupboard with shelves and two doors. size 1380 x 600 x 3125mm high.</t>
  </si>
  <si>
    <t>Take out 600mm Wide vanity counter.</t>
  </si>
  <si>
    <t>Take out 22 x 305mm Thick SA Pine shelving.</t>
  </si>
  <si>
    <t>Take out pinning board, size 900 x 600mm (p).</t>
  </si>
  <si>
    <t>Take out pinning board, size 900 x 900mm (p).</t>
  </si>
  <si>
    <t>Take out pinning board, size 1200 x 1000mm (p).</t>
  </si>
  <si>
    <t>Take out pinning board, size 1500 x 1200mm (p).</t>
  </si>
  <si>
    <t>Take out pinning board, size 1800 x 900mm (p).</t>
  </si>
  <si>
    <t>Take out timber framed pinning board, size 1200 x 900mm.</t>
  </si>
  <si>
    <t>Take out timber framed pinning board, size 1800 x 1200mm.</t>
  </si>
  <si>
    <t>Take out 900 x 900mm Whiteboard.</t>
  </si>
  <si>
    <t>Take out 1200 x 900mm Whiteboard.</t>
  </si>
  <si>
    <t>Take out 1800 x 1200mm Whiteboard.</t>
  </si>
  <si>
    <t>Take out 2400 x 1200mm Whiteboard.</t>
  </si>
  <si>
    <t>Take out 1000 x 2000mm Timber and glass display case.</t>
  </si>
  <si>
    <t>Take out 3000 x 1200mm Timber and glass display case.</t>
  </si>
  <si>
    <t>Take out 450 x 500mm High bench seat formed of timber slats and steel framework.</t>
  </si>
  <si>
    <t>Take up carpet tiling and prepare surface for new floor covering.</t>
  </si>
  <si>
    <t>Take out steel security gate, size 950 x 2100mm high.</t>
  </si>
  <si>
    <t>Take out double steel security gate, size 1650 x 2100mm high.</t>
  </si>
  <si>
    <t>Take out plastic soap holder plugged, size 260 x 75 x 20mm thick.</t>
  </si>
  <si>
    <t>Take off steel toilet roll holder (p).</t>
  </si>
  <si>
    <t>Take off 19mm steel towel rail 900mm long with brackets.</t>
  </si>
  <si>
    <t>Take out glass and putty from steel window frames and prepare to receive new glazing.</t>
  </si>
  <si>
    <t>Take out 25 x 25mm bead of putty from steel window frames and prepare to receive new putty.</t>
  </si>
  <si>
    <t>Take out glass with glazing beads from timber window frames and prepare to receive new glazing.</t>
  </si>
  <si>
    <t>Take out glass with glazing beads from aluminium window frames and prepare to receive new glazing.</t>
  </si>
  <si>
    <t>Take out mirror size 600 x 600mm high (p).</t>
  </si>
  <si>
    <t>Take off mirror size 680 x 1080mm high.</t>
  </si>
  <si>
    <t>Take out plasterboard ceiling and battens with 19mm timber quadrant.`</t>
  </si>
  <si>
    <t>Take out acoustic tiles fixed vertically to plastered walls.</t>
  </si>
  <si>
    <t>Take out acoustic tiles fixed horizontally to concrete soffit.`</t>
  </si>
  <si>
    <t>Take out 75mm gypsum coved cornice.</t>
  </si>
  <si>
    <t>Take out drywall partitioning 2850mm high.</t>
  </si>
  <si>
    <t>Take out drywall partitioning 3150mm high.</t>
  </si>
  <si>
    <t>Take out drywall partitioning 3400mm high.</t>
  </si>
  <si>
    <t>Take out floor screed and prepare for new screed.</t>
  </si>
  <si>
    <t>Take off external wall plaster and prepare for new plaster.</t>
  </si>
  <si>
    <t>Take up vinyl floor tiling and prepare screed to a suitable finish for new tiling.</t>
  </si>
  <si>
    <t>Hack up slate floor tiling.</t>
  </si>
  <si>
    <t>Hack up ceramic floor tiling with mortar bedding and prepare screed for new tiles.</t>
  </si>
  <si>
    <t>Hack off ceramic wall tiling with mortar bedding from plastered walls including preparation for new tiling.</t>
  </si>
  <si>
    <t>Hack off mosaic wall tiling from plastered walls including preparation for new tiling.</t>
  </si>
  <si>
    <t>Taking out and removing items from the plumbing and drainage installations including removal to an approved disposal site to be located by the contractor:</t>
  </si>
  <si>
    <t>120 x 120mm Asbestos fibre cement rainwater downpipes including accessories to be removed by a registered hazardous material removal specialist in strict accordance with all current regulations</t>
  </si>
  <si>
    <t>150 x 120mm Asbestos fibre cement rainwater gutters including accessories to be removed by a registered hazardous material removal specialist in strict accordance with all current regulations.</t>
  </si>
  <si>
    <t>15mm Pipe chased into plastered wall including filling and plastering flush all chases including feathering new plaster into existing.</t>
  </si>
  <si>
    <t>22mm Pipe chased into plastered wall including filling and plastering flush all chases including feathering new plaster into existing.</t>
  </si>
  <si>
    <t>28mm Pipe chased into plastered wall including filling and plastering flush all chases including feathering new plaster into existing.</t>
  </si>
  <si>
    <t>32mm Pipe chased into plastered wall including filling and plastering flush all chases including feathering new plaster into existing.</t>
  </si>
  <si>
    <t>40mm Pipe chased into plastered wall including filling and plastering flush all chases including feathering new plaster into existing.</t>
  </si>
  <si>
    <t>50mm Pipe chased into plastered wall including filling and plastering flush all chases including feathering new plaster into existing.</t>
  </si>
  <si>
    <t>110mm Pipe chased into plastered wall including filling and plastering flush all chases including feathering new plaster into existing.</t>
  </si>
  <si>
    <t>110mm Pipe fixed to brick walls.</t>
  </si>
  <si>
    <t>Take out 75mm diameter asbestos cement water pipes and fittings laid in trenches not exceeding 1m deep to be removed by a registered hazardous material removal specialist in strict accordance with all current regulations, including backfilling in 150mm layers compacted to 93% Modified AASHTO dry density.</t>
  </si>
  <si>
    <t>Take up 100mm diameter asbestos cement water pipes laid in trenches not exceeding 1m deep by a registered asbestos removal specialist including disposal in full accordance with regulations and including excavation, backfilling and compacting to leave the site clear and level.</t>
  </si>
  <si>
    <t>Take out 150mm diameter earthenware sewer pipe laid in trenches not exceeding 1m deep including backfilling in 150mm layers compacted to 93% Modified AASHTO dry density.</t>
  </si>
  <si>
    <t>Take out 150mm diameter earthenware sewer pipe laid in trenches exceeding 1m and not exceeding 2m deep including backfilling in 150mm layers compacted to 93% Modified AASHTO dry density.</t>
  </si>
  <si>
    <t>Take out 200mm diameter earthenware sewer pipe laid in trenches not exceeding 1m deep including backfilling in 150mm layers compacted to 93% Modified AASHTO dry density.</t>
  </si>
  <si>
    <t>Take out 300mm precast concrete stormwater pipe laid exceeding 1m and not exceeding 2m deep excavation and backfilling in 150mm layers compacted to 93% Modified AASHTO maximum density (a).</t>
  </si>
  <si>
    <t>Take out broken cast iron manhole cover and frame size 450 x 600mm and prepare to receive new cover and frame.</t>
  </si>
  <si>
    <t>Take out brick and concrete stormwater catchpit size 450 x 600mm x not exceeding 1m deep including excavation and backfilling in 150mm layers compacted to 93% Modified AASHTO maximum density and stopping off pipe.</t>
  </si>
  <si>
    <t>Take out broken cast iron manhole cover and frame size 600 x 600mm and prepare to receive new cover and frame.</t>
  </si>
  <si>
    <t>Take out manhole or catchpit, size 600 x 600mm x not exceeding 1m deep including backfilling in 150mm layers compacted to 93% Modified AASHTO dry density.</t>
  </si>
  <si>
    <t>Take out manhole or catchpit, size 600 x 900mm x not exceeding 1m deep including backfilling in 150mm layers compacted to 93% Modified AASHTO dry density.</t>
  </si>
  <si>
    <t>Take out manhole or catchpit, size 600 x 900mm x exceeding 1m and not exceeding 2m deep including backfilling in 150mm layers compacted to 93% Modified AASHTO dry density.</t>
  </si>
  <si>
    <t>Take out manhole or catchpit, size 900 x 900mm x exceeding 1m and not exceeding 2m deep including backfilling in 150mm layers compacted to 93% Modified AASHTO dry density.</t>
  </si>
  <si>
    <t>Take out vitreous china WC, size 460 x 380 x 440mm high.</t>
  </si>
  <si>
    <t>Take out vitreous china cistern, size 450 x 180 x 320mm high.</t>
  </si>
  <si>
    <t>Take out vitreous china wash hand basin, size 570 x 380mm with taps.</t>
  </si>
  <si>
    <t>Take out vitreous china bowl type urinal, size 320 x 260 x 440mm high.</t>
  </si>
  <si>
    <t>Take out stainless steel wash trough, size 1320 x 550 x 440mm high.</t>
  </si>
  <si>
    <t>Take out 5000 litre cold water storage tank from roof level and place on external plinth (elsewhere measured) at ground level.</t>
  </si>
  <si>
    <t>Taking out and removing items from the external work including removal to an approved disposal site to be located by the contractor:</t>
  </si>
  <si>
    <t>Take out tree roots under roadways including excavation, backfilling and compaction (paving elsewhere removed).</t>
  </si>
  <si>
    <t>Trimming of well established tree of not exceeding 5m approximate height.</t>
  </si>
  <si>
    <t>Trimming of well established tree of exceeding 5m and not exceeding 7,5m approximate height.</t>
  </si>
  <si>
    <t>Trimming of well established tree of exceeding 7,5m and not exceeding 10m approximate height.</t>
  </si>
  <si>
    <t>Taking out tree with girth not exceeding 1000mm including grubbing up roots and backfill, additional filling, compaction and leaving site neat and level.</t>
  </si>
  <si>
    <t>Taking out tree with girth exceeding 1000 and not exceeding 1500mm including grubbing up roots and backfill, additional filling, compaction and leaving site neat and level.</t>
  </si>
  <si>
    <t>Taking out multi-stemmed tree with girth exceeding 1000 and not exceeding 1500mm including grubbing up roots and backfill, additional filling, compaction and leaving site neat and level.</t>
  </si>
  <si>
    <t>Taking out half brick walls 500mm high including foundation on fence line including all excavation, backfilling and compacting in 150mm thick layers to 93% Modified AASHTO dry density.</t>
  </si>
  <si>
    <t>Take out one brick external retaining wall 500mm high and leave area clean and level.</t>
  </si>
  <si>
    <t>Hack up Slasto stone paving including 100mm thick concrete surface bed.</t>
  </si>
  <si>
    <t>Take out 100mm Thick mass concrete apron.</t>
  </si>
  <si>
    <t>Take out 100mm Thick mass concrete surface bed.</t>
  </si>
  <si>
    <t>Take out 100mm Thick reinforced concrete surface bed.</t>
  </si>
  <si>
    <t>Take out 100mm Thick mass concrete surface bed in confined spaces.</t>
  </si>
  <si>
    <t>Take up 80mm Thick precast concrete interlocking paving blocks.</t>
  </si>
  <si>
    <t>Take up 30mm Thick bitumen premix paving to be removed by a specialist disposal sub-contractor in strict accordance with environmental regulations.</t>
  </si>
  <si>
    <t>Take up precast concrete barrier kerb.</t>
  </si>
  <si>
    <t>Take up precast concrete mountable kerb.</t>
  </si>
  <si>
    <t>Take up concrete barrier kerb with 300 x 150mm channel.</t>
  </si>
  <si>
    <t>Take up 340mm wide cast in-situ concrete U-drain including excavation, backfilling and compacting.</t>
  </si>
  <si>
    <t>Break out 230 x 500mm high low wall with footing including excavation, backfilling and compacting.</t>
  </si>
  <si>
    <t>Take out 600 x 400mm deep concrete U-shaped stormwater channel with 150mm thick concrete sides and bottom.</t>
  </si>
  <si>
    <t>Take down security fence 1800mm high formed of wire mesh on straining wires and flat wrap razor wire fitted vertically including removal of posts, stays including filling of post holes and leaving site clean and level (p).</t>
  </si>
  <si>
    <t>Take out mild steel fence 2100mm high including all required backfilling and levelling.</t>
  </si>
  <si>
    <t>Take out 160mm diameter mild steel post 1000mm long with concrete base including backfilling and compacting to 93% modified AASHTO dry density.</t>
  </si>
  <si>
    <t>Take out 25 x 252mm timber fascia from carports.</t>
  </si>
  <si>
    <t>Take out 50 x 76mm timber purlin from carports.</t>
  </si>
  <si>
    <t>Take out 76 x 228mm timber rafters from carports.</t>
  </si>
  <si>
    <t>Take down shadecloth from carports.</t>
  </si>
  <si>
    <t>Take out 100 x 100mm square hollow section mild steel carport post 3000mm long including temporary propping to carport structure for the duration of repairs.</t>
  </si>
  <si>
    <t>Take out mild steel carport structure with posts cast into concrete and mild steel roof sheeting including all excavation, backfilling and carting away, size approximately 6000 x 3000 x 2400mm high.</t>
  </si>
  <si>
    <t>CAREFULLY TAKE UP/OFF/DOWN/OUT AND SET ASIDE FOR RE-USE</t>
  </si>
  <si>
    <t>Carefully take up/off/down/out, service or repair, thoroughly clean and store for later use:</t>
  </si>
  <si>
    <t>Pinning board, size 2100 x 900mm including resurfacing with cork tiles.</t>
  </si>
  <si>
    <t>Vertical window blinds with rails.</t>
  </si>
  <si>
    <t>Electronic white board, size 1500 x 1200mm high including temporary insulated wrapping.</t>
  </si>
  <si>
    <t>9Kg Fire extinguisher.</t>
  </si>
  <si>
    <t>80mm Thick precast concrete interlocking paving blocks.</t>
  </si>
  <si>
    <t>Carefully take out kitchen equipment and set aside for reuse:</t>
  </si>
  <si>
    <t>Potato peeling machine.</t>
  </si>
  <si>
    <t>Stainless steel table 1850mm.</t>
  </si>
  <si>
    <t>Stainless steel single pot sink size 900mm.</t>
  </si>
  <si>
    <t>Dishwasher.</t>
  </si>
  <si>
    <t>Stainless steel single bowl prep sink with bowl to LHS size 1650mm.</t>
  </si>
  <si>
    <t>Stainless steel table size 1050mm.</t>
  </si>
  <si>
    <t>Outlet table.</t>
  </si>
  <si>
    <t>Stainless steel table 1050mm.</t>
  </si>
  <si>
    <t>FTG10 flat top griddle.</t>
  </si>
  <si>
    <t>Combi steamer.</t>
  </si>
  <si>
    <t>RE3 stove with oven.</t>
  </si>
  <si>
    <t>Double bowl prep sink 2250mm.</t>
  </si>
  <si>
    <t>Bandsaw.</t>
  </si>
  <si>
    <t>Prewash sink.</t>
  </si>
  <si>
    <t>2 x 80 Litre tilt pans.</t>
  </si>
  <si>
    <t>Loaf slicer.</t>
  </si>
  <si>
    <t>Fryer.</t>
  </si>
  <si>
    <t>2 x Flat tops.</t>
  </si>
  <si>
    <t>Potato peeler.</t>
  </si>
  <si>
    <t>2 x Hydroboils.</t>
  </si>
  <si>
    <t>Ice machine.</t>
  </si>
  <si>
    <t>TAKE FROM STORE AND REFIX</t>
  </si>
  <si>
    <t>Take from store serviced or repaired items and refix:</t>
  </si>
  <si>
    <t>Resurfaced pinning board, size 2100 x 900mm.</t>
  </si>
  <si>
    <t>Electronic white board, size 1500 x 1200mm high.</t>
  </si>
  <si>
    <t>9Kg Fire extinguisher with hardwood backboard and powder coated hook.</t>
  </si>
  <si>
    <t>Take from store, clean and restore to new condition and refix:</t>
  </si>
  <si>
    <t>Vertical window blinds with rails not exceeding 2,5m in area.</t>
  </si>
  <si>
    <t>Vertical window blinds with rails not exceeding 2,5m2 and not exceeding 5m2 in area.</t>
  </si>
  <si>
    <t>Take from store, clean and restore kitchen equipment to new working condition and refix:</t>
  </si>
  <si>
    <t>Stainless steel single bowl pot sink size 900mm.</t>
  </si>
  <si>
    <t>No item.</t>
  </si>
  <si>
    <t>CUTTING THROUGH MATERIALS</t>
  </si>
  <si>
    <t>Cutting, etc.:</t>
  </si>
  <si>
    <t>Sawcut through plaster and form V-joint (a).</t>
  </si>
  <si>
    <t>Sawcut through half brick wall at reveals.</t>
  </si>
  <si>
    <t>Sawcut through one brick walls.</t>
  </si>
  <si>
    <t>Sawcut through one brick walls in foundations.</t>
  </si>
  <si>
    <t>Sawcut 50mm deep into concrete.</t>
  </si>
  <si>
    <t>Sawcut through 100mm thick concrete or precast concrete paving in straight lines.</t>
  </si>
  <si>
    <t>Sawcut through 100mm thick concrete surface bed.</t>
  </si>
  <si>
    <t>Carefully cut through 230 x 450mm high reinforced concrete beam.</t>
  </si>
  <si>
    <t>Core drill 200mm diameter hole through 230mm thick concrete.</t>
  </si>
  <si>
    <t>Core drill hole not exceeding 100mm diameter through 230mm thick concrete or brickwork.</t>
  </si>
  <si>
    <t>Core drill hole not exceeding 200mm diameter through 230mm thick concrete or brickwork.</t>
  </si>
  <si>
    <t>Core drill hole not exceeding 300mm diameter through 230mm thick concrete or brickwork.</t>
  </si>
  <si>
    <t>Core drill not exceeding 400mm diameter through 230mm thick concrete or brickwork.</t>
  </si>
  <si>
    <t>SERVICING AND REPAIR:</t>
  </si>
  <si>
    <t>Aluminium window size 1000 x 665mm high including unclogging all weep slots, drain holes, roller assemblies and lubricate all hardware components, roller assemblies and tracks (W23).</t>
  </si>
  <si>
    <t>Service mechanisms, restore to original working condition and thoroughly clean:</t>
  </si>
  <si>
    <t>Aluminium window size 780 x 2970mm high including unclogging all weep slots, drain holes, roller assemblies and lubricate all hardware components, roller assemblies and tracks (W15).</t>
  </si>
  <si>
    <t>Aluminium window size 4795 x 2970mm high including unclogging all weep slots, drain holes, roller assemblies and lubricate all hardware components, roller assemblies and tracks (W14).</t>
  </si>
  <si>
    <t>Sliding track to timber door 2835mm long (D17).</t>
  </si>
  <si>
    <t>Steel cold room door, size 895 x 2100mm high including replacement of all rubber and other seals, accessories, etc. (D13).</t>
  </si>
  <si>
    <t>PREPARATION OF SURFACES</t>
  </si>
  <si>
    <t>Scabbling of concrete:</t>
  </si>
  <si>
    <t>Mechanically scabble top surface of concrete or screeds to a depth of 10mm to ensure a rough, clean surface including removal of all debris and dust.</t>
  </si>
  <si>
    <t>Prepare surface by grit blasting or similar means to remove all oil, grease, wax and dirt:</t>
  </si>
  <si>
    <t>Grit blast screed and prepare for new paint.</t>
  </si>
  <si>
    <t>Grit blast plastered ceiling and prepare for new paint.</t>
  </si>
  <si>
    <t>Saw cut 3 x 30mm deep into concrete surface beds.</t>
  </si>
  <si>
    <t>Saw cut 3 x 150mm deep through concrete surface beds.</t>
  </si>
  <si>
    <t>Rake out 3 x 30mm sawcut joint in concrete and seal with Sikaflex 11C or other approved polyurethane sealant.</t>
  </si>
  <si>
    <t>Power cleaning:</t>
  </si>
  <si>
    <t>Power cleaning of concrete surface paving using a "hydroblast" process with a rotating nozzle wuth a water pressure of between 250 and 350 bars including all walls and other surfaces affected.</t>
  </si>
  <si>
    <t>Cleaning of Slasto floor tiling:</t>
  </si>
  <si>
    <t>Testing of small sample area to ensure that the required finish can be obtained.</t>
  </si>
  <si>
    <t>Strip and seal surface by applying solvent based, low viscosity, emulsifier, scrub well with pads, neutralise by washing the surface with 50/50 water and tile cleaner and scrub well, rinse with water, apply two-part aliphatic polyurethane, abrasion resistant, UV stable sealant, with slip resistant qualities all in strict accordance with the manufacturer’s instructions.</t>
  </si>
  <si>
    <t>OPENINGS THROUGH EXISTING WALLS, SLABS ETC</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</si>
  <si>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</si>
  <si>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900 x 2100mm high through one brick wall.</t>
  </si>
  <si>
    <t>Opening 1600 x 2100mm high through one brick wall.</t>
  </si>
  <si>
    <t>Breaking out for and forming openings through brick walls for new windows, including brick lintels, making good cement plaster on one side and into reveals and face brickwork on other side and into reveals and with sloping facebrick cills on outside and flat 15mm thick medium density fibre cement sills on inside (new windows and making good paintwork elsewhere)</t>
  </si>
  <si>
    <t>Opening for window 900 x 1200m high through 340mm hollow wall of two half brick skins, including building cavity solid.</t>
  </si>
  <si>
    <t>Breaking out for and forming plain openings through concrete slabs including cutting through steel reinforcement, leaving edges neatly sawcut and making good waterproofing and plaster to soffit, including plastering reveals (making good paintwork elsewhere):</t>
  </si>
  <si>
    <t>Opening in slab size 600 x 600mm for extract duct.</t>
  </si>
  <si>
    <t>Bill Total</t>
  </si>
  <si>
    <t>BILL NO. 0 - PRELIMINARIES AND GENERAL ITEMS</t>
  </si>
  <si>
    <t>Item</t>
  </si>
  <si>
    <t>Unit</t>
  </si>
  <si>
    <t>Quantity</t>
  </si>
  <si>
    <t>Rate</t>
  </si>
  <si>
    <t>Amount</t>
  </si>
  <si>
    <t>PROJECT DETAILS</t>
  </si>
  <si>
    <t>Contract period: As stated in contract data (estimated 6 months)</t>
  </si>
  <si>
    <t>Liquidated damages: As stated in contract data</t>
  </si>
  <si>
    <t>Performance guarantee: 10% of contract sum for 12 months after completion</t>
  </si>
  <si>
    <t>Insurance: Contractors all risks, public liability, works insurance</t>
  </si>
  <si>
    <t>SITE ESTABLISHMENT</t>
  </si>
  <si>
    <t>Site offices, toilets, storage facilities, fencing, signage, access control</t>
  </si>
  <si>
    <t>Month</t>
  </si>
  <si>
    <t>Site security, 24-hour guard service</t>
  </si>
  <si>
    <t>Site supervision: Site agent, foreman, health and safety officer</t>
  </si>
  <si>
    <t>Water supply for construction purposes, including standpipe, consumption</t>
  </si>
  <si>
    <t>Electricity supply for construction purposes, including distribution board, consumption</t>
  </si>
  <si>
    <t>Site clearing and preparation, erect fencing, establish site facilities</t>
  </si>
  <si>
    <t>Demolish and remove site facilities on completion, make good</t>
  </si>
  <si>
    <t>SCAFFOLDING AND ACCESS</t>
  </si>
  <si>
    <t>Scaffolding, tubular steel, to external walls up to 3.5m high, including erection, hire, dismantling</t>
  </si>
  <si>
    <t>m²</t>
  </si>
  <si>
    <t>Internal working platforms and trestles as required</t>
  </si>
  <si>
    <t>Protection of existing buildings and structures, including sheeting, barriers</t>
  </si>
  <si>
    <t>TEMPORARY WORKS</t>
  </si>
  <si>
    <t>Temporary propping and support to existing structure during alterations</t>
  </si>
  <si>
    <t>Temporary weather protection, including plastic sheeting, tarpaulins</t>
  </si>
  <si>
    <t>Temporary lighting and power to work areas</t>
  </si>
  <si>
    <t>Protection of finished work until handover</t>
  </si>
  <si>
    <t>HEALTH AND SAFETY</t>
  </si>
  <si>
    <t>Health and Safety Plan, file and implementation throughout contract</t>
  </si>
  <si>
    <t>Construction health and safety officer, site visits and reports</t>
  </si>
  <si>
    <t>Safety equipment, signage, barriers, PPE for workers</t>
  </si>
  <si>
    <t>First aid facilities and trained first aider on site</t>
  </si>
  <si>
    <t>Ablution facilities for workers, maintain clean and serviceable</t>
  </si>
  <si>
    <t>TESTING AND COMMISSIONING</t>
  </si>
  <si>
    <t>Testing of all installations, obtain test certificates</t>
  </si>
  <si>
    <t>Commissioning of mechanical and electrical installations</t>
  </si>
  <si>
    <t>Concrete cube tests, 1 No. per 10m³ or part thereof</t>
  </si>
  <si>
    <t>No.</t>
  </si>
  <si>
    <t>Compaction tests for earthworks and paving</t>
  </si>
  <si>
    <t>CLEANING AND HANDOVER</t>
  </si>
  <si>
    <t>Progress cleaning, remove rubbish weekly</t>
  </si>
  <si>
    <t>Week</t>
  </si>
  <si>
    <t>Final clean, remove all debris, clean all surfaces, windows, floors</t>
  </si>
  <si>
    <t>Handover documentation: As-built drawings, O&amp;M manuals, test certificates, guarantees</t>
  </si>
  <si>
    <t>FINANCE OFFICE CONVERSION - ALICE CAMPUS</t>
  </si>
  <si>
    <t>BILLS OF QUANTITIES</t>
  </si>
  <si>
    <t>TRADE: DEMOLITIONS AND ALTERATIONS</t>
  </si>
  <si>
    <t>1.0</t>
  </si>
  <si>
    <t>DEMOLITION OF BRICK WALLS</t>
  </si>
  <si>
    <t>1.1</t>
  </si>
  <si>
    <t>Demolish internal half brick walls (110mm thick), including removal of plaster, making good adjoining surfaces, removal and disposal of debris</t>
  </si>
  <si>
    <t>66.00</t>
  </si>
  <si>
    <t>1.2</t>
  </si>
  <si>
    <t>Demolish internal one brick walls (230mm thick), including removal of plaster, making good adjoining surfaces, removal and disposal of debris</t>
  </si>
  <si>
    <t>0.00</t>
  </si>
  <si>
    <t>1.3</t>
  </si>
  <si>
    <t>Demolish external one brick walls (230mm thick), including removal of plaster where applicable, making good adjoining surfaces, removal and disposal of debris</t>
  </si>
  <si>
    <t>43.00</t>
  </si>
  <si>
    <t>1.4</t>
  </si>
  <si>
    <t>Demolish external cavity walls (280-330mm thick), including removal of plaster, making good adjoining surfaces, removal and disposal of debris</t>
  </si>
  <si>
    <t>24.70</t>
  </si>
  <si>
    <t>1.5</t>
  </si>
  <si>
    <t>Demolish existing veranda brick columns (230mm x 230mm), including removal and disposal of debris, make good adjoining surfaces</t>
  </si>
  <si>
    <t>2.08</t>
  </si>
  <si>
    <t>m³</t>
  </si>
  <si>
    <t>1.6</t>
  </si>
  <si>
    <t>Demolish existing veranda low walls (110mm half brick), including removal and disposal of debris, make good adjoining surfaces</t>
  </si>
  <si>
    <t>6.72</t>
  </si>
  <si>
    <t>Subtotal - Demolition of Brick Walls</t>
  </si>
  <si>
    <t>2.0</t>
  </si>
  <si>
    <t>REMOVAL OF DOORS AND WINDOWS</t>
  </si>
  <si>
    <t>2.1</t>
  </si>
  <si>
    <t>Remove existing timber doors (approximate size 925 x 2100mm), set aside for disposal, make good door openings where required</t>
  </si>
  <si>
    <t>6</t>
  </si>
  <si>
    <t>2.2</t>
  </si>
  <si>
    <t>Remove existing door frames (timber, approximate section 100 x 75mm), make good wall openings</t>
  </si>
  <si>
    <t>39.4</t>
  </si>
  <si>
    <t>m</t>
  </si>
  <si>
    <t>2.3</t>
  </si>
  <si>
    <t>Remove existing facade doors (size to be confirmed), remove and dispose of debris, make good wall openings</t>
  </si>
  <si>
    <t>2</t>
  </si>
  <si>
    <t>Remove existing garage doors complete with tracks, guides and hardware, remove and dispose of debris</t>
  </si>
  <si>
    <t>2.4</t>
  </si>
  <si>
    <t>Remove existing windows (various sizes), make good wall openings, remove and dispose of debris</t>
  </si>
  <si>
    <t>12</t>
  </si>
  <si>
    <t>2.5</t>
  </si>
  <si>
    <t>Remove existing window frames complete with ironmongery, make good wall openings</t>
  </si>
  <si>
    <t>50.0</t>
  </si>
  <si>
    <t>Subtotal - Doors and Windows</t>
  </si>
  <si>
    <t>3.0</t>
  </si>
  <si>
    <t>REMOVAL OF BUILT-IN JOINERY</t>
  </si>
  <si>
    <t>3.1</t>
  </si>
  <si>
    <t>Demolish built-in cupboards including concrete soffits where applicable, remove and dispose of debris, make good walls and floors</t>
  </si>
  <si>
    <t>15.00</t>
  </si>
  <si>
    <t>3.2</t>
  </si>
  <si>
    <t>Demolish existing built-in reception desk, remove and dispose of debris, make good floor to match existing timber flooring</t>
  </si>
  <si>
    <t>1</t>
  </si>
  <si>
    <t>3.3</t>
  </si>
  <si>
    <t>Demolish existing fireplace, remove and dispose of debris, make good wall opening</t>
  </si>
  <si>
    <t>3.4</t>
  </si>
  <si>
    <t>Demolish existing built-in joinery unit (approximate 1800mm W x 600mm D x 2100mm H) with open timber shelving above (approximate 1800mm W x 300mm D x 900mm H), remove and dispose of debris, make good floor to match existing timber flooring</t>
  </si>
  <si>
    <t>1.80</t>
  </si>
  <si>
    <t>Subtotal - Built-in Joinery</t>
  </si>
  <si>
    <t>4.0</t>
  </si>
  <si>
    <t>REMOVAL OF SANITARY WARE AND PLUMBING</t>
  </si>
  <si>
    <t>4.1</t>
  </si>
  <si>
    <t>Remove existing wash hand basins complete with taps and waste fittings, blank off water supply and drainage, make good walls</t>
  </si>
  <si>
    <t>9</t>
  </si>
  <si>
    <t>4.2</t>
  </si>
  <si>
    <t>Remove existing WC pans complete with cisterns and fittings, blank off water supply and drainage, make good walls and floors</t>
  </si>
  <si>
    <t>5</t>
  </si>
  <si>
    <t>4.3</t>
  </si>
  <si>
    <t>Remove existing sink complete with taps and waste fittings, blank off water supply and drainage, make good walls</t>
  </si>
  <si>
    <t>4.4</t>
  </si>
  <si>
    <t>Remove existing gulley, blank off drainage, make good area</t>
  </si>
  <si>
    <t>Subtotal - Sanitary Ware</t>
  </si>
  <si>
    <t>5.0</t>
  </si>
  <si>
    <t>REMOVAL OF FLOOR FINISHES</t>
  </si>
  <si>
    <t>5.1</t>
  </si>
  <si>
    <t>Remove existing timber flooring including battens where applicable, remove and dispose of debris, make good substrate</t>
  </si>
  <si>
    <t>45</t>
  </si>
  <si>
    <t>5.2</t>
  </si>
  <si>
    <t>Remove existing floor tiles including screed bed, remove and dispose of debris, make good substrate</t>
  </si>
  <si>
    <t>25</t>
  </si>
  <si>
    <t>Subtotal - Floor Finishes</t>
  </si>
  <si>
    <t>6.0</t>
  </si>
  <si>
    <t>EXTERNAL DEMOLITION WORKS</t>
  </si>
  <si>
    <t>6.1</t>
  </si>
  <si>
    <t>Demolish existing external paving, remove and dispose of debris, prepare for new paving as per drawings</t>
  </si>
  <si>
    <t>80</t>
  </si>
  <si>
    <t>6.2</t>
  </si>
  <si>
    <t>Demolish existing concrete slab including plumbing and drainage, terminate services properly, remove and dispose of debris, make good area</t>
  </si>
  <si>
    <t>6.3</t>
  </si>
  <si>
    <t>Demolish existing steps and nib walls, remove and dispose of debris, make good area</t>
  </si>
  <si>
    <t>6.4</t>
  </si>
  <si>
    <t>Remove existing gate, fence and boundary structures as shown on drawings, remove and dispose of debris, clean and make good areas</t>
  </si>
  <si>
    <t>Subtotal - External Works</t>
  </si>
  <si>
    <t>7.0</t>
  </si>
  <si>
    <t>ROOF STRUCTURE DEMOLITION</t>
  </si>
  <si>
    <t>7.1</t>
  </si>
  <si>
    <t>Demolish existing garage roof structure complete including trusses, purlins, bracing, roof covering, ceilings, and all associated components, remove and dispose of debris</t>
  </si>
  <si>
    <t>55</t>
  </si>
  <si>
    <t>7.2</t>
  </si>
  <si>
    <t>Demolish existing main building roof structure complete including trusses, purlins, bracing, roof covering, internal ceilings, and all associated components, remove and dispose of debris. New roof as per new roof plan</t>
  </si>
  <si>
    <t>280</t>
  </si>
  <si>
    <t>7.3</t>
  </si>
  <si>
    <t>Demolish existing veranda roof structure complete including roof covering, ceiling, and all associated components, remove and dispose of debris. New roof as per new roof plan</t>
  </si>
  <si>
    <t>35</t>
  </si>
  <si>
    <t>Subtotal - Roof Demolition</t>
  </si>
  <si>
    <t>8.0</t>
  </si>
  <si>
    <t>MAKING GOOD AND GENERAL ITEMS</t>
  </si>
  <si>
    <t>8.1</t>
  </si>
  <si>
    <t>General attendance on demolition works including protection of areas to remain, temporary support where required, cleaning as work proceeds, and final clean up on completion</t>
  </si>
  <si>
    <t>8.2</t>
  </si>
  <si>
    <t>8.3</t>
  </si>
  <si>
    <t>NOTES:</t>
  </si>
  <si>
    <t>1. All demolition work to be carried out in accordance with the demolition drawings A-01-1002 and A-01-1003</t>
  </si>
  <si>
    <t>2.6</t>
  </si>
  <si>
    <t>3. All debris to be removed from site and disposed of at licensed waste disposal facilities</t>
  </si>
  <si>
    <t>4. All areas to be made good to match existing finishes unless otherwise specified</t>
  </si>
  <si>
    <t>5. Existing ablution block to remain unaffected - area to be cleaned and made good</t>
  </si>
  <si>
    <t>6. Contractor to protect all areas to remain and ensure safe working at all times</t>
  </si>
  <si>
    <t>7. Rates to include for all labour, materials, plant, disposal and making good</t>
  </si>
  <si>
    <t>ITEM NO</t>
  </si>
  <si>
    <t>DESCRIPTION</t>
  </si>
  <si>
    <t>UNIT</t>
  </si>
  <si>
    <t>QUANTITY</t>
  </si>
  <si>
    <t>RATE</t>
  </si>
  <si>
    <t>AMOUNT</t>
  </si>
  <si>
    <t>BILL NO. 3</t>
  </si>
  <si>
    <t>FOUNDATIONS</t>
  </si>
  <si>
    <t>1. EARTHWORKS</t>
  </si>
  <si>
    <t>Site Clearance</t>
  </si>
  <si>
    <t>Clear site of vegetation, topsoil, rubble and other deleterious material to a depth of 150mm. Remove from site</t>
  </si>
  <si>
    <t>Excavations</t>
  </si>
  <si>
    <t>Excavate in material other than rock for new concrete stairs foundation to a depth not exceeding 1.00m below natural ground level, cart away surplus material and dispose of off site</t>
  </si>
  <si>
    <t>Excavate in material other than rock for new concrete seating foundation to a depth not exceeding 0.80m below natural ground level, cart away surplus material and dispose of off site</t>
  </si>
  <si>
    <t>Excavate in material other than rock for new planter beds to a depth not exceeding 0.50m below ground level, cart away surplus material and dispose of off site</t>
  </si>
  <si>
    <t>Excavate in material other than rock for service trenches not exceeding 0.80m deep, cart away surplus material and dispose of off site</t>
  </si>
  <si>
    <t>Filling</t>
  </si>
  <si>
    <t>Selected imported material filling in layers not exceeding 150mm compacted to 95% Mod AASHTO density under new external paving and stairs</t>
  </si>
  <si>
    <t>1.7</t>
  </si>
  <si>
    <t>Selected imported material filling in planter beds, including topsoil to top 300mm</t>
  </si>
  <si>
    <t>1.8</t>
  </si>
  <si>
    <t>Blinding with 25mm thick sand blinding to formation level under concrete</t>
  </si>
  <si>
    <t>CARRIED FORWARD TO SUMMARY</t>
  </si>
  <si>
    <t>2. CONCRETE, FORMWORK AND REINFORCEMENT</t>
  </si>
  <si>
    <t>Foundations - Concrete Grade 25/19</t>
  </si>
  <si>
    <t>150mm thick mass concrete blinding grade 15/19 under new stairs foundation</t>
  </si>
  <si>
    <t>300mm thick reinforced concrete strip foundation grade 25 MPa / 26mm for new stairs, including compacting, levelling and curing</t>
  </si>
  <si>
    <t>200mm thick reinforced concrete pad foundation grade 25 MPa / 26mm for new concrete seating, including compacting, levelling and curing</t>
  </si>
  <si>
    <t>Superstructure - Concrete Grade 30/19</t>
  </si>
  <si>
    <t>Reinforced concrete stairs in treads and risers grade 30/19, thickness average 180mm, including compacting, levelling, steel trowel finish to treads and curing</t>
  </si>
  <si>
    <t>Reinforced concrete seating with upstand grade 30/19, thickness average 150mm, including smooth float finish to seat and curing</t>
  </si>
  <si>
    <t>100mm thick mass concrete grade 25 MPa / 26mm surround to new drainage including compacting, levelling and curing</t>
  </si>
  <si>
    <t>Formwork</t>
  </si>
  <si>
    <t>2.7</t>
  </si>
  <si>
    <t>Formwork to edges of concrete strip foundations, height not exceeding 300mm</t>
  </si>
  <si>
    <t>2.8</t>
  </si>
  <si>
    <t>Formwork to sides of concrete stairs, height average 1.20m</t>
  </si>
  <si>
    <t>2.9</t>
  </si>
  <si>
    <t>Formwork to edges and sides of concrete seating including fair face finish, height average 0.70m</t>
  </si>
  <si>
    <t>2.10</t>
  </si>
  <si>
    <t>Formwork to soffits of stairs, including strutting and propping</t>
  </si>
  <si>
    <t>Reinforcement - Grade 450MPa</t>
  </si>
  <si>
    <t>2.11</t>
  </si>
  <si>
    <t>Y12 bars in strip foundation, including laps, tying wire, chairs and spacers</t>
  </si>
  <si>
    <t>t</t>
  </si>
  <si>
    <t>2.12</t>
  </si>
  <si>
    <t>Y12 bars in pad foundation for seating, including laps, tying wire, chairs and spacers</t>
  </si>
  <si>
    <t>2.13</t>
  </si>
  <si>
    <t>Y12 and Y16 bars in concrete stairs, including laps, tying wire, chairs and spacers</t>
  </si>
  <si>
    <t>2.14</t>
  </si>
  <si>
    <t>Y10 and Y12 bars in concrete seating, including laps, tying wire, chairs and spacers</t>
  </si>
  <si>
    <t>2.15</t>
  </si>
  <si>
    <t>F82 fabric reinforcement in seating top, including laps of 300mm and tying wire</t>
  </si>
  <si>
    <t>Joints and Accessories</t>
  </si>
  <si>
    <t>2.16</t>
  </si>
  <si>
    <t>19mm thick premoulded compressible filler joint in concrete seating at 3.00m maximum centres</t>
  </si>
  <si>
    <t>2.17</t>
  </si>
  <si>
    <t>Polysulphide sealant to movement joints, 20 x 10mm in cross-section</t>
  </si>
  <si>
    <t>3. MASONRY</t>
  </si>
  <si>
    <t>Brickwork - Below Ground</t>
  </si>
  <si>
    <t>230mm (one brick) walls in Corobrik breeze blocks laid in class II mortar (1:4 cement:sand) below ground level to new planter beds</t>
  </si>
  <si>
    <t>Damp-proof Courses</t>
  </si>
  <si>
    <t>375mm wide bituminous damp-proof course to planter walls, lapped 150mm at joints</t>
  </si>
  <si>
    <t>4. WATERPROOFING</t>
  </si>
  <si>
    <t>Waterproofing to Concrete</t>
  </si>
  <si>
    <t>Two coats bituminous waterproofing compound applied to external face of planter walls below ground level</t>
  </si>
  <si>
    <t>Heavy duty polythene sheeting DPC under new concrete floors, lapped 150mm at joints, turned up 150mm at edges</t>
  </si>
  <si>
    <t>BILL NO. 3 - FOUNDATIONS SUMMARY</t>
  </si>
  <si>
    <t>TOTAL CARRIED TO FINAL SUMMARY</t>
  </si>
  <si>
    <t>STRUCTURAL DRAWINGS RECEIVED:</t>
  </si>
  <si>
    <t>BILL NO. 3 - REINFORCED CONCRETE STRUCTURE</t>
  </si>
  <si>
    <t>RING BEAMS</t>
  </si>
  <si>
    <t>Reinforced concrete ring beam, 230mm wide x 450mm deep, grade 25 MPa / 19mm, including all formwork, reinforcement as per schedule mark RB1 (to be extracted from S-01-003), cast in-situ against existing brickwork</t>
  </si>
  <si>
    <t>Reinforced concrete ring beam, 230mm wide x 350mm deep, grade 25 MPa / 19mm, including all formwork, reinforcement as per schedule mark RB2 (to be extracted from S-01-003)</t>
  </si>
  <si>
    <t>COLUMNS</t>
  </si>
  <si>
    <t>3</t>
  </si>
  <si>
    <t>Reinforced concrete column, 230mm x 230mm, grade 30 MPa / 19mm, including all formwork, reinforcement as per schedule (to be provided by structural engineer)</t>
  </si>
  <si>
    <t>4</t>
  </si>
  <si>
    <t>Reinforced concrete column, 300mm x 300mm, grade 30 MPa / 19mm, including all formwork, reinforcement as per schedule</t>
  </si>
  <si>
    <t>BEAMS</t>
  </si>
  <si>
    <t>Reinforced concrete beam, 230mm wide x 450mm deep, grade 25 MPa / 19mm, including all formwork, reinforcement as per schedule</t>
  </si>
  <si>
    <t>LINTELS</t>
  </si>
  <si>
    <t>Precast prestressed concrete lintel, 230mm wide x 225mm deep, to span not exceeding 1.5m, supplied and fixed</t>
  </si>
  <si>
    <t>7</t>
  </si>
  <si>
    <t>Precast prestressed concrete lintel, 230mm wide x 225mm deep, to span exceeding 1.5m and not exceeding 2.5m</t>
  </si>
  <si>
    <t>8</t>
  </si>
  <si>
    <t>Precast prestressed concrete lintel, 230mm wide x 225mm deep, to span exceeding 2.5m and not exceeding 3.5m</t>
  </si>
  <si>
    <t>STAIRS</t>
  </si>
  <si>
    <t>Reinforced concrete stair, 150mm thick waist, grade 25 MPa / 19mm, including all formwork, reinforcement, treads 300mm wide x 150mm rise, landings, soffit finish power floated, as detailed on Drawing A-53-2001</t>
  </si>
  <si>
    <t>SUSPENDED SLABS</t>
  </si>
  <si>
    <t>10</t>
  </si>
  <si>
    <t>Reinforced concrete suspended slab, 150mm thick, grade 25 MPa / 19mm, including all formwork, reinforcement as per schedule, soffit power floated (if applicable)</t>
  </si>
  <si>
    <t>1. All reinforcement schedules to be provided by structural engineer</t>
  </si>
  <si>
    <t>2. Ring beam dimensions to be scaled from Drawing S-01-003 Rev E</t>
  </si>
  <si>
    <t>3. Column schedule to be provided by structural engineer</t>
  </si>
  <si>
    <t>4. All concrete to SANS 1200 G and SANS 10100</t>
  </si>
  <si>
    <t>5. Formwork to be inspected and approved by engineer before casting</t>
  </si>
  <si>
    <t>6. Curing: minimum 7 days, kept continuously damp</t>
  </si>
  <si>
    <t>7. 48 hours notice required for all concrete inspections</t>
  </si>
  <si>
    <t>FORMWORK</t>
  </si>
  <si>
    <t>Formwork to sides of ring beams, 450mm high, including all strutting and supports</t>
  </si>
  <si>
    <t>Formwork to sides of ring beams, 350mm high</t>
  </si>
  <si>
    <t>Formwork to columns, 230 x 230mm, height not exceeding 3m</t>
  </si>
  <si>
    <t>Formwork to columns, 300 x 300mm, height not exceeding 3m</t>
  </si>
  <si>
    <t>Formwork to soffits of beams, 230mm wide, including all supports and props</t>
  </si>
  <si>
    <t>Formwork to edges of suspended slabs, 150mm high</t>
  </si>
  <si>
    <t>Formwork to stairs, including soffits, risers, treads, all supports</t>
  </si>
  <si>
    <t>BILL NO. 4 - BRICKWORK</t>
  </si>
  <si>
    <t>EXTERNAL WALLS - NEW CONSTRUCTION</t>
  </si>
  <si>
    <t>Cavity wall, outer skin 115mm commons in Class II cement:sand mortar (1:6), inner skin 115mm commons in Class II mortar, 50mm cavity with wall ties at 450mm centres horizontally and 450mm vertically, height not exceeding 3m</t>
  </si>
  <si>
    <t>Fair face stock brick outer skin, 115mm thick in Class II mortar (1:6), flush pointed as work proceeds, height not exceeding 3m</t>
  </si>
  <si>
    <t>INTERNAL WALLS - NEW CONSTRUCTION</t>
  </si>
  <si>
    <t>Half brick wall, 115mm thick commons in Class II cement:sand mortar (1:6), height not exceeding 3m</t>
  </si>
  <si>
    <t>One brick wall, 230mm thick commons in Class II mortar, height not exceeding 3m</t>
  </si>
  <si>
    <t>Concrete block wall, 140mm thick solid blocks (7 MPa minimum) in Class II mortar, height not exceeding 3m</t>
  </si>
  <si>
    <t>DAMP PROOF COURSE</t>
  </si>
  <si>
    <t>Damp proof course, 250µm (1000 gauge) black polythene DPC to SANS 952, width 115mm, horizontal in cement mortar</t>
  </si>
  <si>
    <t>Damp proof course, 250µm black polythene, width 230mm, horizontal in cement mortar</t>
  </si>
  <si>
    <t>Cavity tray DPC, code 4 lead, dressed over cavity, with stop ends and weep holes at 1m centres</t>
  </si>
  <si>
    <t>CAVITY FILL</t>
  </si>
  <si>
    <t>Cavity fill, 50mm wide, grade 15 MPa / 19mm concrete as per structural notes, including temporary formwork, in vertical sections not exceeding 1.2m high, poured in stages</t>
  </si>
  <si>
    <t>CLOSING CAVITIES</t>
  </si>
  <si>
    <t>Close cavity at jambs of openings with 100 x 50mm slate DPC vertically, built into mortar joints</t>
  </si>
  <si>
    <t>Close cavity at sills with brick on edge course, including DPC under and over</t>
  </si>
  <si>
    <t>BUILDING UP OPENINGS</t>
  </si>
  <si>
    <t>Build up existing door opening in half brick wall, matching existing brickwork and mortar, including cutting, toothing, bonding, making good plaster both sides</t>
  </si>
  <si>
    <t>Build up existing window opening in half brick wall, matching existing brickwork, including cutting, toothing, bonding, making good</t>
  </si>
  <si>
    <t>1. All brickwork to SANS 0164-1</t>
  </si>
  <si>
    <t>2. Mortar: Class II minimum (1:6 cement:sand) unless otherwise specified</t>
  </si>
  <si>
    <t>3. Bricks: Commons to SANS 227, minimum 7 MPa compressive strength</t>
  </si>
  <si>
    <t>4. Fair face bricks: Stock bricks to approved sample</t>
  </si>
  <si>
    <t>5. Wall ties: Galvanized butterfly ties to SANS 1396</t>
  </si>
  <si>
    <t>6. DPC: 250µm (1000 gauge) polythene to SANS 952</t>
  </si>
  <si>
    <t>7. Quantities to be scaled from architectural drawings and verified on site</t>
  </si>
  <si>
    <t>8. Deduct for all openings exceeding 0.5 m²</t>
  </si>
  <si>
    <t>9. Confirm loadbearing wall locations with structural engineer</t>
  </si>
  <si>
    <t>SPECIFICATION NOTES:</t>
  </si>
  <si>
    <t>• Bricks: SANS 227, minimum compressive strength 7 MPa, frost resistant</t>
  </si>
  <si>
    <t>• Mortar: Class II (1:6 cement:sand) for general work, Class I (1:4) for damp areas</t>
  </si>
  <si>
    <t>• Pointing: Flush joint for plastered work, half-round struck joint for fair face</t>
  </si>
  <si>
    <t>• Bond: English bond for one brick walls, stretcher bond for half brick walls</t>
  </si>
  <si>
    <t>• DPC: Rise minimum 150mm above finished ground level</t>
  </si>
  <si>
    <t>• Movement joints: Provide at 6m centres vertically in cavity walls</t>
  </si>
  <si>
    <t>• Fair face work: Use whole bricks only, no cut bricks visible, uniform colour</t>
  </si>
  <si>
    <t>BILL NO. 5 - STEELWORK</t>
  </si>
  <si>
    <t>STRUCTURAL STEELWORK</t>
  </si>
  <si>
    <t>Mild steel universal beam, grade S355JR, 203 x 133 x 25 kg/m, including all cleats, bolts, site welding, one coat red oxide primer</t>
  </si>
  <si>
    <t>Mild steel universal column, grade S355JR, 152 x 152 x 23 kg/m, including base plates, holding down bolts, grouting</t>
  </si>
  <si>
    <t>Mild steel angle, 75 x 75 x 8mm, for lintels and supports, including fixings</t>
  </si>
  <si>
    <t>METALWORK</t>
  </si>
  <si>
    <t>Mild steel flat bar, 50 x 6mm, for fixing lugs and brackets, galvanized</t>
  </si>
  <si>
    <t>Mild steel square hollow section, 50 x 50 x 3mm, for door frames and supports, galvanized and powder coated</t>
  </si>
  <si>
    <t>Stainless steel handrail, 42mm diameter, including brackets at 1.2m centres, wall mounted</t>
  </si>
  <si>
    <t>Mild steel balustrade, 1100mm high, comprising 40 x 40mm posts at 1.5m centres, 3 No. horizontal rails 25 x 25mm, galvanized and powder coated</t>
  </si>
  <si>
    <t>SUNDRY METALWORK</t>
  </si>
  <si>
    <t>2. Welding to SANS 0160</t>
  </si>
  <si>
    <t>Galvanized steel lintels, 90mm wide x 100mm high, length not exceeding 1.5m</t>
  </si>
  <si>
    <t>Galvanized steel lintels, 90mm wide x 100mm high, length 1.5-2.5m</t>
  </si>
  <si>
    <t>Stainless steel angle, 40 x 40 x 3mm, corner protection to columns</t>
  </si>
  <si>
    <t>BILL NO. 6 - SURFACE BED CONSTRUCTION</t>
  </si>
  <si>
    <t>PREPARATION</t>
  </si>
  <si>
    <t>Prepare existing concrete surface by mechanical scarification, remove all loose material, clean and prepare for new surface bed</t>
  </si>
  <si>
    <t>Test existing concrete for compressive strength, report to engineer (Provisional item)</t>
  </si>
  <si>
    <t>DAMP PROOF MEMBRANE</t>
  </si>
  <si>
    <t>125µm (500 gauge) black polythene DPC membrane to SANS 628, lapped 300mm at all joints, taped, laid on prepared surface under surface beds</t>
  </si>
  <si>
    <t>CONCRETE SURFACE BEDS</t>
  </si>
  <si>
    <t>Reinforced concrete surface bed, 100mm thick, grade 30 MPa / 19mm aggregate, CEM I 42,5N cement, aggregates to SANS 1083, A142 mesh reinforcement, mechanical power floated finish, as per Drawing S-01-002 and structural specification</t>
  </si>
  <si>
    <t>Extra over surface bed for thickening to 150mm at entrance areas and high traffic zones</t>
  </si>
  <si>
    <t>JOINTS AND SEALING</t>
  </si>
  <si>
    <t>10mm wide isolation joint at all columns and walls, formed with compressible joint filler</t>
  </si>
  <si>
    <t>Saw-cut control joints, 3mm wide x 30mm deep, at 4-5m centres in both directions, sealed with Sikaflex 11C or approved polyurethane sealant</t>
  </si>
  <si>
    <t>CURING</t>
  </si>
  <si>
    <t>Curing of surface beds for minimum 7 days, kept continuously damp with hessian and polythene cover</t>
  </si>
  <si>
    <t>1. Surface beds to SANS 1200 G and SANS 10100-1</t>
  </si>
  <si>
    <t>2. Engineer inspection required before casting (48 hours notice)</t>
  </si>
  <si>
    <t>3. All services (electrical conduits, plumbing) to be installed before casting</t>
  </si>
  <si>
    <t>4. Concrete to be placed within 30 minutes of mixing</t>
  </si>
  <si>
    <t>5. Allow 4 weeks curing before applying screeds</t>
  </si>
  <si>
    <t>6. Power float finish to Class 2 tolerance (5mm in 3m)</t>
  </si>
  <si>
    <t>7. Test cubes: 1 set per 50m³ or part thereof</t>
  </si>
  <si>
    <t>8. CRITICAL: Confirm extent - 45 m² (timber removed only) or 380 m² (all areas)?</t>
  </si>
  <si>
    <t>9. Surface bed thickness confirmed as 100mm (150mm at entrances)</t>
  </si>
  <si>
    <t>BILL NO. 7 - ROOFS AND RAINWATER DISPOSAL</t>
  </si>
  <si>
    <t>ROOF REPAIRS AND MAINTENANCE</t>
  </si>
  <si>
    <t>Clean and prepare existing roof surface, remove all debris, moss, and loose material</t>
  </si>
  <si>
    <t>Repair existing roof membrane, patch damaged areas with compatible material, min 300mm overlap</t>
  </si>
  <si>
    <t>Apply waterproofing membrane to roof areas, including all details, flashings and upstands</t>
  </si>
  <si>
    <t>RAINWATER GOODS</t>
  </si>
  <si>
    <t>125mm PVC half-round gutter, including all joints, brackets at 1m centres, outlets</t>
  </si>
  <si>
    <t>75mm diameter PVC rainwater downpipe, including all joints, brackets, shoes</t>
  </si>
  <si>
    <t>Connect rainwater downpipe to existing stormwater system</t>
  </si>
  <si>
    <t>BILL NO. 8 - EXTERNAL FINISHES</t>
  </si>
  <si>
    <t>EXTERNAL PLASTER</t>
  </si>
  <si>
    <t>13mm thick sand/cement plaster (1:4) in 2 coats to external brick walls, tyrolean finish</t>
  </si>
  <si>
    <t>Rounded external angle to plaster</t>
  </si>
  <si>
    <t>Plaster to reveals of openings externally, girth not exceeding 300mm</t>
  </si>
  <si>
    <t>EXTERNAL PAINTING</t>
  </si>
  <si>
    <t>Prepare external plastered surfaces and apply 2 coats acrylic paint (approved colour)</t>
  </si>
  <si>
    <t>Prepare and paint external timber surfaces with 1 coat primer, 2 coats gloss enamel</t>
  </si>
  <si>
    <t>BILL NO. 4</t>
  </si>
  <si>
    <t>FLOOR FINISHES, SKIRTINGS AND EXTERNAL PAVING</t>
  </si>
  <si>
    <t>1. CONCRETE FLOORS AND SCREEDS</t>
  </si>
  <si>
    <t>Preparation to Existing Floors</t>
  </si>
  <si>
    <t>Hack up and remove existing timber floor boards and battens, cart away and dispose of off site (as measured in demolitions)</t>
  </si>
  <si>
    <t>Prepare and level existing concrete floor surfaces to receive new finishes including filling, levelling and removal of all loose and friable material</t>
  </si>
  <si>
    <t>New Concrete Floors</t>
  </si>
  <si>
    <t>100mm thick mass concrete floor slab grade 25/19 on 125µm polythene DPC on 50mm thick sand blinding in areas where existing timber floor removed</t>
  </si>
  <si>
    <t>Floor Screeds</t>
  </si>
  <si>
    <t>100mm thick power floated concrete surface bed grade 30 MPa / 19mm to receive tile adhesive on existing concrete floors, including curing</t>
  </si>
  <si>
    <t>100mm thick power floated concrete surface bed grade 30 MPa / 19mm to receive tile adhesive on new concrete slab, including curing</t>
  </si>
  <si>
    <t>50mm thick cement sand screed (1:3 mix) steel trowel finished to falls in ablution areas including curing</t>
  </si>
  <si>
    <t>2. FLOOR COVERINGS</t>
  </si>
  <si>
    <t>Internal Ceramic Floor Tiles</t>
  </si>
  <si>
    <t>600 x 600 x 10mm first grade porcelain ceramic floor tiles to SANS 1285, colour and finish to be confirmed, laid on and including Tal Professional flexible tile adhesive applied as per manufacturer's specifications, grouted with Tal Fine Epoxy grout in 3mm wide joints, colour to be confirmed, on floors in general areas</t>
  </si>
  <si>
    <t>600 x 600 x 10mm first grade non-slip porcelain ceramic floor tiles to SANS 1285, colour and finish to be confirmed, laid on and including Tal Professional flexible tile adhesive, grouted with Tal Fine Epoxy grout in 3mm joints, colour to be confirmed, on floors in ablution areas</t>
  </si>
  <si>
    <t>External Ceramic Floor Tiles</t>
  </si>
  <si>
    <t>600 x 600 x 12mm first grade exterior grade non-slip porcelain ceramic floor tiles to SANS 1285, colour and finish to be confirmed, laid on and including Tal GOLDFLEX flexible tile adhesive, grouted with Tal Fine Epoxy grout in 3mm joints, colour to be confirmed, on veranda floor</t>
  </si>
  <si>
    <t>Cutting and Accessories</t>
  </si>
  <si>
    <t>Circular cutting to floor tiles around pipes, columns and other obstructions</t>
  </si>
  <si>
    <t>MTrim aluminium transition cover strip 29 x 8mm between different floor finishes including fixing</t>
  </si>
  <si>
    <t>MTrim 10mm movement joint in floor tiling at maximum 4-5m centres including fixing and sealing</t>
  </si>
  <si>
    <t>3. SKIRTINGS</t>
  </si>
  <si>
    <t>Skirting Type 01 - Base Reveal Skirting</t>
  </si>
  <si>
    <t>Capco Gamma Base Reveal 75 drywall trim skirting installed as per manufacturer's specifications with concealed fixing using suitable bonding agent, colour to be confirmed, including 45° mitred corners at junctions to new drywalls</t>
  </si>
  <si>
    <t>Skirting Type 02 - Flat Skirting</t>
  </si>
  <si>
    <t>Capco Gamma common section 76 flat skirting installed as per manufacturer's specifications with concealed fixing using suitable bonding agent, colour to be confirmed, including 45° mitred corners at junctions to existing walls</t>
  </si>
  <si>
    <t>4. EXTERNAL PAVING</t>
  </si>
  <si>
    <t>Base Preparation</t>
  </si>
  <si>
    <t>Excavate for paving to a depth of 200mm below finished paving level, cart away surplus material and dispose of off site</t>
  </si>
  <si>
    <t>150mm thick compacted layer of G5 crusher run base course compacted to 95% Mod AASHTO density under paving</t>
  </si>
  <si>
    <t>50mm thick bedding sand under paving, levelled and compacted</t>
  </si>
  <si>
    <t>Concrete Paving</t>
  </si>
  <si>
    <t>60mm thick precast concrete paving blocks, colour and finish to be confirmed, laid on bedding sand in basket weave pattern, joints filled with sand, vibrated and compacted</t>
  </si>
  <si>
    <t>Edging and Accessories</t>
  </si>
  <si>
    <t>4.5</t>
  </si>
  <si>
    <t>Precast concrete kerb edging 200 x 100mm laid on and including 100mm thick concrete haunching grade 15/19</t>
  </si>
  <si>
    <t>BILL NO. 4 - FLOOR FINISHES SUMMARY</t>
  </si>
  <si>
    <t>STRUCTURAL DRAWINGS RECEIVED - CRITICAL UPDATE:</t>
  </si>
  <si>
    <t>BILL NO. 10 - INTERNAL WALL FINISHES</t>
  </si>
  <si>
    <t>PLASTER</t>
  </si>
  <si>
    <t>13mm thick sand/cement plaster (1:4) in 2 coats to brick walls, internal, width exceeding 300mm</t>
  </si>
  <si>
    <t>13mm thick sand/cement plaster (1:4) to concrete surfaces, width exceeding 300mm</t>
  </si>
  <si>
    <t>13mm thick plaster (1:4) to reveals of openings, girth not exceeding 300mm</t>
  </si>
  <si>
    <t>Rounded internal angle to plaster</t>
  </si>
  <si>
    <t>Stop bead, galvanized mild steel, 13mm, vertical</t>
  </si>
  <si>
    <t>PAINTING</t>
  </si>
  <si>
    <t>Prepare plastered wall surfaces and apply 2 coats PVA paint (approved colour) to walls, width exceeding 300mm</t>
  </si>
  <si>
    <t>Prepare and apply 2 coats PVA paint to plastered ceilings, width exceeding 300mm</t>
  </si>
  <si>
    <t>Prepare timber surfaces and apply 1 coat primer, 1 undercoat, 2 coats gloss enamel (approved colour)</t>
  </si>
  <si>
    <t>WALL TILING</t>
  </si>
  <si>
    <t>Ceramic wall tiles, 200 x 300mm, white glazed (or approved equal), fixed with TAL adhesive to prepared plastered surface, grouted with white cement grout, in ablution areas, height 1800mm from floor</t>
  </si>
  <si>
    <t>Ceramic wall tile splashback, 600mm high above kitchenette counter, as specification above</t>
  </si>
  <si>
    <t>SPECIAL FINISHES</t>
  </si>
  <si>
    <t>Prepare and apply textured coating to external walls, 3mm thickness, acrylic based, approved colour</t>
  </si>
  <si>
    <t>Feature wall treatment: Venetian plaster finish, smooth polished, approved colour</t>
  </si>
  <si>
    <t>Washable vinyl paint to high traffic areas (2 coats), approved colour and sheen</t>
  </si>
  <si>
    <t>Epoxy paint to floor surfaces in wet areas, 2 coats on prepared surface</t>
  </si>
  <si>
    <t>• Plaster: Sand to SANS 1090, cement to SANS 50197, clean potable water</t>
  </si>
  <si>
    <t>• Dubbing out: Where walls are uneven, dub out to true surface before plastering</t>
  </si>
  <si>
    <t>• Curing: Keep plaster damp for minimum 7 days after application</t>
  </si>
  <si>
    <t>• Paint: Approved brands - Plascon, Dulux or approved equal</t>
  </si>
  <si>
    <t>• Surface preparation: All surfaces clean, dry, sound before painting</t>
  </si>
  <si>
    <t>• Primers: Apply to all new surfaces, allow to dry 24 hours before top coats</t>
  </si>
  <si>
    <t>• Coverage: Minimum spreading rates as per manufacturer's specifications</t>
  </si>
  <si>
    <t>• Tiles: Fixed with TAL adhesive, grouted with cement grout, colour to be selected</t>
  </si>
  <si>
    <t>BILL NO. 11 - CEILINGS</t>
  </si>
  <si>
    <t>SUSPENDED CEILINGS</t>
  </si>
  <si>
    <t>Suspended ceiling system, 600 x 600mm exposed grid, white powder coated grid members, suspended from soffits with adjustable hangers at 1200mm centres, including all border trims and accessories</t>
  </si>
  <si>
    <t>600 x 600 x 15mm acoustic ceiling tiles, mineral fibre, white, square edged, laid into suspended grid system</t>
  </si>
  <si>
    <t>Bulkhead framing, 38 x 76mm timber framing at 400mm centres, including fixing to structure</t>
  </si>
  <si>
    <t>12.5mm plasterboard to bulkheads, including all fixings, joints taped and filled, ready for painting</t>
  </si>
  <si>
    <t>75mm plaster cornice, run in-situ, three members</t>
  </si>
  <si>
    <t>1. Ceiling layouts to be confirmed from Drawing A-14-1000 series</t>
  </si>
  <si>
    <t>2. Coordinate ceiling grid with lighting and air conditioning layouts</t>
  </si>
  <si>
    <t>3. All ceiling tiles to be approved sample</t>
  </si>
  <si>
    <t>4. Provide access panels at 10m² intervals minimum</t>
  </si>
  <si>
    <t>BILL NO. 12 - DOORS, FRAMES AND IRONMONGERY</t>
  </si>
  <si>
    <t>TIMBER DOORS</t>
  </si>
  <si>
    <t>Timber door mark D01, size 900 x 2100mm high, Single leaf solid core timber door, 44mm thick, flush finish, hardwood lipped edges, factory primed, ready for painting. As detailed on Drawing A-31-5001</t>
  </si>
  <si>
    <t>Timber door mark D02, size 1000 x 2100mm high, Single leaf solid core timber door, 44mm thick, flush finish, hardwood lipped edges, factory primed, ready for painting. As detailed on Drawing A-31-5002</t>
  </si>
  <si>
    <t>Timber door mark D03, size 1500 x 2100mm high, Single leaf solid core timber door, 44mm thick, flush finish, hardwood lipped edges, factory primed, ready for painting. As detailed on Drawing A-31-5003</t>
  </si>
  <si>
    <t>Timber door mark D04, size 1800 x 2100mm high, Double leaf solid core timber doors, 44mm thick each leaf, flush finish, hardwood lipped edges, factory primed, ready for painting. As detailed on Drawing A-31-5004</t>
  </si>
  <si>
    <t>Timber door mark D05, size 1600 x 2100mm high, Double leaf solid core timber doors, 44mm thick each leaf, flush finish, hardwood lipped edges, factory primed, ready for painting. As detailed on Drawing A-31-5005</t>
  </si>
  <si>
    <t>Timber door mark D06, size 800 x 2100mm high, Single leaf solid core timber door, 44mm thick, flush finish, hardwood lipped edges, factory primed, ready for painting. As detailed on Drawing A-31-5006</t>
  </si>
  <si>
    <t>Timber door mark D07, size 2000 x 2100mm high, Double leaf solid core timber doors, 44mm thick each leaf, flush finish, hardwood lipped edges, factory primed, ready for painting. As detailed on Drawing A-31-5007</t>
  </si>
  <si>
    <t>Timber door mark D08, size 900 x 2100mm high, Single leaf glazed timber door, 44mm thick, with vision panel 300 x 600mm, hardwood lipped edges, factory primed, ready for painting. As detailed on Drawing A-31-5008</t>
  </si>
  <si>
    <t>DOOR FRAMES</t>
  </si>
  <si>
    <t>Hardwood door frame, 88 x 63mm, with rebate 13mm deep, including fixing lugs, plugs and screws, for door size not exceeding 1000 x 2100mm high</t>
  </si>
  <si>
    <t>Hardwood door frame, 88 x 63mm, with rebate 13mm deep, for door size exceeding 1000mm and not exceeding 1500 x 2100mm high</t>
  </si>
  <si>
    <t>Hardwood door frame, 88 x 63mm, with rebate 13mm deep, for double door size exceeding 1500mm and not exceeding 2000 x 2100mm high</t>
  </si>
  <si>
    <t>DOOR IRONMONGERY</t>
  </si>
  <si>
    <t>75mm brass butt hinges, fixed with brass screws, 3 No. per door leaf</t>
  </si>
  <si>
    <t>pair</t>
  </si>
  <si>
    <t>Mortice lock, 5 lever deadlock, 64mm backset, satin chrome finish, including cylinder and 3 keys</t>
  </si>
  <si>
    <t>Lever handle on rose, satin chrome finish, supplied and fixed to doors</t>
  </si>
  <si>
    <t>Overhead door closer, size 3, with hold-open facility, including all fixings</t>
  </si>
  <si>
    <t>Door stop, satin chrome finish, floor mounted</t>
  </si>
  <si>
    <t>Flush bolt, 200mm long, satin chrome finish, for double doors (2 No. per double door set)</t>
  </si>
  <si>
    <t>DOOR ARCHITRAVES</t>
  </si>
  <si>
    <t>Hardwood door architrave, 19 x 75mm, moulded pattern, fixed with lost head nails, one side of opening</t>
  </si>
  <si>
    <t>115</t>
  </si>
  <si>
    <t>Hardwood door architrave, 19 x 75mm, moulded pattern, both sides of opening</t>
  </si>
  <si>
    <t>GATES</t>
  </si>
  <si>
    <t>Mild steel gate mark G01, size 1000 x 2100mm high, fabricated from 40 x 40 x 3mm SHS frame with 25 x 25 x 3mm SHS infill at 100mm centres, galvanized and powder coated, including hinges and lock. As detailed on Drawing A-31-5007</t>
  </si>
  <si>
    <t>Mild steel sliding gate mark G02, size 3000 x 2100mm high, fabricated from 50 x 50 x 3mm SHS frame with expanded metal infill, galvanized and powder coated, including track, rollers, guides and lock. As detailed on Drawing A-31-5010</t>
  </si>
  <si>
    <t>1. All timber doors to be SABS approved</t>
  </si>
  <si>
    <t>2. Door frames to be fixed with 4 No. fixing lugs per jamb</t>
  </si>
  <si>
    <t>3. All ironmongery to be of approved quality and finish</t>
  </si>
  <si>
    <t>4. Fire rating requirements to be confirmed (if applicable)</t>
  </si>
  <si>
    <t>5. Glazing to door D08: 6mm clear toughened safety glass</t>
  </si>
  <si>
    <t>6. Door colours and finishes to be confirmed by Architect</t>
  </si>
  <si>
    <t>7. Master key system required - to be coordinated with Client</t>
  </si>
  <si>
    <t>8. All doors to be factory primed, site painted after installation</t>
  </si>
  <si>
    <t>ADDITIONAL HARDWARE</t>
  </si>
  <si>
    <t>Automatic door closer with hold-open facility, size 4, for main entrance</t>
  </si>
  <si>
    <t>Door entry system with access control, electronic locks, card readers</t>
  </si>
  <si>
    <t>Kick plate, stainless steel satin finish, 300mm high, fixed to doors</t>
  </si>
  <si>
    <t>Door viewer, 180 degree wide angle, brass finish, for solid doors</t>
  </si>
  <si>
    <t>Door chain security device, brass finish</t>
  </si>
  <si>
    <t>Overhead concealed door closer, standard duty, for internal doors</t>
  </si>
  <si>
    <t>BILL NO. 13 - WINDOWS, SHOPFRONTS AND GLAZING</t>
  </si>
  <si>
    <t>ALUMINIUM WINDOWS</t>
  </si>
  <si>
    <t>Aluminium casement window mark W01, size 1200 x 1200mm high, mill finished aluminium frame and sashes, with 6mm clear toughened safety glass, including all hardware, locks, stays, hinges, weatherstripping, fixed into prepared opening with screws and mastic seal. As detailed on Drawing A-35-5001</t>
  </si>
  <si>
    <t>Aluminium casement window mark W02, size 1500 x 1200mm high, mill finished aluminium frame and sashes, with 6mm clear toughened safety glass, including all hardware, locks, stays, hinges, weatherstripping, fixed into prepared opening with screws and mastic seal. As detailed on Drawing A-35-5002</t>
  </si>
  <si>
    <t>Aluminium casement window mark W03, size 1800 x 1200mm high, mill finished aluminium frame and sashes, with 6mm clear toughened safety glass, including all hardware, locks, stays, hinges, weatherstripping, fixed into prepared opening with screws and mastic seal. As detailed on Drawing A-35-5003</t>
  </si>
  <si>
    <t>Aluminium casement window mark W04, size 2100 x 1200mm high, mill finished aluminium frame and sashes, with 6mm clear toughened safety glass, including all hardware, locks, stays, hinges, weatherstripping, fixed into prepared opening with screws and mastic seal. As detailed on Drawing A-35-5004</t>
  </si>
  <si>
    <t>Aluminium casement window mark W05, size 1200 x 900mm high, mill finished aluminium frame and sashes, with 6mm clear toughened safety glass, including all hardware, locks, stays, hinges, weatherstripping, fixed into prepared opening with screws and mastic seal. As detailed on Drawing A-35-5005</t>
  </si>
  <si>
    <t>Aluminium casement window mark W06, size 900 x 600mm high, mill finished aluminium frame and sashes, with 6mm clear toughened safety glass, including all hardware, locks, stays, hinges, weatherstripping, fixed into prepared opening with screws and mastic seal. As detailed on Drawing A-35-5006</t>
  </si>
  <si>
    <t>ALUMINIUM SHOPFRONTS</t>
  </si>
  <si>
    <t>Aluminium shopfront mark SF01, size 2400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A-32-5001</t>
  </si>
  <si>
    <t>Aluminium shopfront mark SF02, size 3600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A-32-5002</t>
  </si>
  <si>
    <t>Aluminium shopfront mark SF03, size 4800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A-32-5003</t>
  </si>
  <si>
    <t>Aluminium shopfront mark SF04, size 3000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A-32-5004</t>
  </si>
  <si>
    <t>Aluminium shopfront mark SF05, size 2700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A-32-5005</t>
  </si>
  <si>
    <t>Aluminium shopfront mark SF06, size 5400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A-32-5006</t>
  </si>
  <si>
    <t>Aluminium shopfront mark SF07, size 3300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A-32-5007</t>
  </si>
  <si>
    <t>Aluminium shopfront mark SF08, size 4200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A-32-5008</t>
  </si>
  <si>
    <t>Aluminium shopfront mark SF09, size 5100 x 2700mm high, comprising mill finished aluminium framing system with glazing panels, including structural support, kickplate at 300mm high, doors with panic hardware, all locks, handles, hinges, weatherstripping, 6mm clear toughened safety glass to panels, fixed into prepared opening. As detailed on Drawing A-32-5009</t>
  </si>
  <si>
    <t>1. All aluminium to SANS 996, mill finished unless otherwise specified</t>
  </si>
  <si>
    <t>2. Glass: 6mm clear toughened safety glass to SANS 1263</t>
  </si>
  <si>
    <t>3. Windows to be SABS approved with water penetration test certificate</t>
  </si>
  <si>
    <t>4. All hardware to be of approved quality, colour to be confirmed</t>
  </si>
  <si>
    <t>5. Installation: Fix with screws and mastic seal, weatherstripping all around</t>
  </si>
  <si>
    <t>6. Shopfronts to include panic hardware on exit doors</t>
  </si>
  <si>
    <t>7. Coordinate glazing lines with architectural elevations</t>
  </si>
  <si>
    <t>8. Powder coating colour to be confirmed (if required)</t>
  </si>
  <si>
    <t>BILL NO. 14 - JOINERY AND FITTINGS</t>
  </si>
  <si>
    <t>BUILT-IN JOINERY</t>
  </si>
  <si>
    <t>Security desk mark JT01, as detailed on Drawing A-74-6001, comprising laminated particle board carcass with melamine finish, hardwood lipping, lockable drawers and cupboards, counter top 25mm thick laminated board, including all fixings</t>
  </si>
  <si>
    <t>Kitchenette mark JT02, as detailed on Drawing A-74-6002, comprising laminated particle board cupboards with melamine finish, drawers with ball bearing runners, adjustable shelving, stainless steel sink with taps and waste, laminated worktop, including all fixings and plumbing connections</t>
  </si>
  <si>
    <t>SUNDRIES</t>
  </si>
  <si>
    <t>Mirror, 600 x 900mm with bevelled edges, fixed to wall with chrome clips</t>
  </si>
  <si>
    <t>Toilet roll holder, stainless steel, wall mounted</t>
  </si>
  <si>
    <t>Soap dispenser, stainless steel, wall mounted</t>
  </si>
  <si>
    <t>Paper towel dispenser, stainless steel, wall mounted</t>
  </si>
  <si>
    <t>Coat hooks, chrome finish, wall mounted</t>
  </si>
  <si>
    <t>Fire extinguisher bracket, wall mounted, powder coated red</t>
  </si>
  <si>
    <t>BILL NO. 15 - EXTERNAL WORKS</t>
  </si>
  <si>
    <t>SITE CLEARANCE</t>
  </si>
  <si>
    <t>Clear site of vegetation, rubbish and debris, remove to approved dump site</t>
  </si>
  <si>
    <t>Grub up tree stumps and roots, backfill holes with approved material</t>
  </si>
  <si>
    <t>EARTHWORKS</t>
  </si>
  <si>
    <t>Excavate for external paving, average 300mm deep, cart away surplus</t>
  </si>
  <si>
    <t>Imported fill material, G5 material, spread and compact in 150mm layers</t>
  </si>
  <si>
    <t>Re-grade and level external areas, topsoil spread and compact</t>
  </si>
  <si>
    <t>PAVING</t>
  </si>
  <si>
    <t>Concrete paving, 100mm thick grade 25 MPa / 26mm, on 150mm compacted G5 base, steel trowel finish, as per Paving Layerworks drawing</t>
  </si>
  <si>
    <t>80mm thick concrete paving blocks, on 50mm sand bed, including edge restraint</t>
  </si>
  <si>
    <t>Precast concrete kerb, 100 x 250mm, on concrete bed and haunch</t>
  </si>
  <si>
    <t>Brick paving, clay pavers 220 x 110 x 50mm on 50mm sand bed with edge restraint</t>
  </si>
  <si>
    <t>EXTERNAL CONCRETE WORKS</t>
  </si>
  <si>
    <t>Concrete seating/benching as detailed on Drawing A-53-2002, grade 25 MPa, including all formwork, power floated finish</t>
  </si>
  <si>
    <t>Concrete canopy as detailed on Drawing A-53-2003, grade 30 MPa, including all formwork, reinforcement, soffit finish</t>
  </si>
  <si>
    <t>DRAINAGE</t>
  </si>
  <si>
    <t>Connect new rainwater downpipes to existing stormwater system, including excavation, concrete surround, backfill</t>
  </si>
  <si>
    <t>110mm uPVC stormwater pipe laid in trench, including bedding and surround</t>
  </si>
  <si>
    <t>Precast concrete catch pit, 450 x 450 x 600mm deep with grating</t>
  </si>
  <si>
    <t>LANDSCAPING</t>
  </si>
  <si>
    <t>Topsoil, 150mm thick imported and spread, including surface preparation</t>
  </si>
  <si>
    <t>Grass seeding to prepared topsoil, including watering until established</t>
  </si>
  <si>
    <t>Planting of shrubs, size 5 litre bag, including excavation, compost, watering</t>
  </si>
  <si>
    <t>SITE WORKS</t>
  </si>
  <si>
    <t>Site clearing, remove vegetation, top soil to 150mm depth, cart away</t>
  </si>
  <si>
    <t>Excavate for drainage trenches, average depth 800mm, including backfill with selected material, compact in 150mm layers</t>
  </si>
  <si>
    <t>Imported fill, approved material, spread and compact in 150mm layers</t>
  </si>
  <si>
    <t>100mm thick stone base, crushed stone G5, spread and compact</t>
  </si>
  <si>
    <t>Concrete kerb, cast in-situ, 150 x 300mm, including formwork</t>
  </si>
  <si>
    <t>Stormwater catch pit, brick and concrete, 600 x 600 x 900mm deep, including cover and frame</t>
  </si>
  <si>
    <t>Stormwater channel, precast concrete, 300mm wide, including foundation</t>
  </si>
  <si>
    <t>Topsoil, minimum 150mm depth, imported and spread</t>
  </si>
  <si>
    <t>Grass seed, prepare soil, sow and maintain until established</t>
  </si>
  <si>
    <t>110mm diameter PVC soil pipe, laid in trenches, including beds and surrounds, depth 0.5-1.0m</t>
  </si>
  <si>
    <t>110mm diameter PVC soil pipe, laid in trenches, depth 1.0-1.5m</t>
  </si>
  <si>
    <t>110mm PVC inspection chamber, 450mm diameter, depth not exceeding 1m, including cover</t>
  </si>
  <si>
    <t>110mm PVC junction bend, including connecting to existing</t>
  </si>
  <si>
    <t>110mm to 160mm PVC adaptor junction</t>
  </si>
  <si>
    <t>French drain, 300mm wide trench with perforated pipe and stone surround</t>
  </si>
  <si>
    <t>Silt trap, brick and concrete, 600 x 450 x 600mm deep, including cover</t>
  </si>
  <si>
    <t>QUERY LIST</t>
  </si>
  <si>
    <t>Date</t>
  </si>
  <si>
    <t>Response</t>
  </si>
  <si>
    <t>(This is a continuous list. For date of issue refer to item date)</t>
  </si>
  <si>
    <t>UNIVERSITY OF FORT HARE - FINANCE OFFICE CONVERSION</t>
  </si>
  <si>
    <t>For date of submission see email date</t>
  </si>
  <si>
    <t>Kindly insert your response into this list</t>
  </si>
  <si>
    <t>11-12-2025</t>
  </si>
  <si>
    <t>STRUCT ENG: Confirm surface bed thickness - structural drawings show layout but thickness not clearly indicated. Assume 100mm or 150mm?</t>
  </si>
  <si>
    <t>STRUCT ENG: Confirm extent of new surface beds - Only where timber floors removed (45 m²) OR over all existing concrete areas (380 m²)? Cost impact ~R100,000</t>
  </si>
  <si>
    <t>STRUCT ENG: Provide complete reinforcement schedules - Bar marks shown on Foundation Layout S-01-001 but schedules not provided</t>
  </si>
  <si>
    <t>STRUCT ENG: Extract foundation dimensions from Foundation Layout S-01-001 Rev E for accurate quantity calculations</t>
  </si>
  <si>
    <t>STRUCT ENG: Ring beam details and dimensions from Ring Beam Layout S-01-003 Rev E - Not currently measured in Foundations BOQ</t>
  </si>
  <si>
    <t>STRUCT ENG/ARCH: Existing concrete floor condition survey required - Can floors be prepared and tiled directly or do new surface beds need to be cast over?</t>
  </si>
  <si>
    <t>ARCH: Confirm screed extent - Notes say 'screeds where required'. All areas (380 m²) or selective areas only? Which areas can tiles go directly on prepared surface beds?</t>
  </si>
  <si>
    <t>ARCH: Confirm screed thickness - 50mm throughout or varies by location? Ablutions confirmed 50mm to falls.</t>
  </si>
  <si>
    <t>STRUCT ENG: Confirm DPC specification under surface beds - Type, thickness, and product specification required</t>
  </si>
  <si>
    <t>STRUCT ENG/ARCH: Services coordination critical - All electrical conduits, plumbing pipes and drainage must be in place BEFORE surface bed casting. Services drawings required urgently.</t>
  </si>
  <si>
    <t>08-12-2025</t>
  </si>
  <si>
    <t>ARCH/CIVIL ENG: External paving extent? Will this form part of the Architectural contract or separate civil contract?</t>
  </si>
  <si>
    <t>CIVIL ENG: Paving Layerworks drawing 2025-12-10 received. Confirm base course depths, paver thickness and exact paving area</t>
  </si>
  <si>
    <t>ELEC ENG: Electrical Installation Bills of Quantities required - Demolitions, new installation, lighting, power, data</t>
  </si>
  <si>
    <t>MECH ENG: Mechanical Installation Bills of Quantities required - HVAC, ventilation, fire systems</t>
  </si>
  <si>
    <t>CIVIL ENG: Civil engineering drawings required - Drainage, stormwater, external works details</t>
  </si>
  <si>
    <t>STRUCT ENG: Structural Engineering drawings required</t>
  </si>
  <si>
    <t>10-12-2025</t>
  </si>
  <si>
    <t>Received - S-01 series</t>
  </si>
  <si>
    <t>H&amp;S AGENT: Health and Safety Specification and Bill of Quantities required</t>
  </si>
  <si>
    <t>ARCH: Glass thickness to windows, shopfronts and doors - Specification required for pricing</t>
  </si>
  <si>
    <t>ARCH: Wall and floor tiling specs? I.e. at this stage is the architect wanting the QS to price for Porcelain tiles or Ceramic tiles?</t>
  </si>
  <si>
    <t>ARCH: Are photos of the existing building available for tenderers to review with the tender documents?</t>
  </si>
  <si>
    <t>STRUCT ENG: Where one brick and cavity walls are to be demolished - Confirm which internal walls are loadbearing for structural demolition methodology</t>
  </si>
  <si>
    <t>STRUCT ENG/ARCH: Please confirm which external walls are cavity construction vs solid - Required for accurate brickwork quantities</t>
  </si>
  <si>
    <t>Structural drawings issued</t>
  </si>
  <si>
    <t>ARCH: Exact built-in cupboard linear metres and dimensions - Site measurement required or provide detailed joinery drawings</t>
  </si>
  <si>
    <t>ARCH: Confirmation of existing window and door counts vs drawings - Physical site count recommended</t>
  </si>
  <si>
    <t>ARCH: Tile colour and exact product specification - Client selection required before final pricing</t>
  </si>
  <si>
    <t>ARCH: Skirting colour selection - Capco Gamma products, colours to be confirmed</t>
  </si>
  <si>
    <t>ARCH: Paint colours for all areas - Colour schedule required</t>
  </si>
  <si>
    <t>SURVEYOR: Site survey required for existing floor levels and variations - Critical for accurate surface bed/screed thickness calculations</t>
  </si>
  <si>
    <t>GEOTECH: Existing ground conditions for external works - Geotechnical report or trial pits recommended for paving sub-base design</t>
  </si>
  <si>
    <t>CONTRACTOR: Access for plant and materials delivery - Site visit required to assess access constraints</t>
  </si>
  <si>
    <t>BILL NO. 16 - SUNDRIES AND METALWORK</t>
  </si>
  <si>
    <t>PLUMBING FIXTURES &amp; FITTINGS</t>
  </si>
  <si>
    <t>White vitreous china WC suite, close coupled, including dual flush cistern, soft close seat, supply and fixing complete</t>
  </si>
  <si>
    <t>White vitreous china wash hand basin, 560 x 450mm, including pedestal, chrome taps, waste, trap, supply and fixing</t>
  </si>
  <si>
    <t>Stainless steel single bowl kitchen sink, 800 x 500mm, including drainer, chrome mixer tap, waste, trap</t>
  </si>
  <si>
    <t>Chrome towel rail, 600mm long, single bar, wall mounted</t>
  </si>
  <si>
    <t>Chrome toilet roll holder, recessed type</t>
  </si>
  <si>
    <t>Soap dispenser, wall mounted, lockable, 1 litre capacity</t>
  </si>
  <si>
    <t>Mirror, 6mm clear glass with polished edges, 800 x 600mm, wall mounted with chrome clips</t>
  </si>
  <si>
    <t>SUNDRY ITEMS</t>
  </si>
  <si>
    <t>Fire extinguisher, 9kg DCP, with bracket and mounting</t>
  </si>
  <si>
    <t>First aid box, wall mounted, fully stocked to SANS requirements</t>
  </si>
  <si>
    <t>Signage, internal directional signs, 300 x 150mm, with braille, as per approved schedule</t>
  </si>
  <si>
    <t>Signage, room identification plates, 200 x 100mm, with braille</t>
  </si>
  <si>
    <t>Disability signage as per SANS 10400-S, various locations</t>
  </si>
  <si>
    <t>Fire exit signage, illuminated type, with battery backup</t>
  </si>
  <si>
    <t>IRONMONGERY SUNDRIES</t>
  </si>
  <si>
    <t>Hat and coat hooks, chrome finish, single hook</t>
  </si>
  <si>
    <t>Door kick plates, stainless steel, 300mm high</t>
  </si>
  <si>
    <t>Door numbers, 50mm high chrome figures, supplied and fixed</t>
  </si>
  <si>
    <t>Rubber door stops, floor mounted</t>
  </si>
  <si>
    <t>BILL NO. 17 - PROVISIONAL SUMS AND PRIME COST SUMS</t>
  </si>
  <si>
    <t>PROVISIONAL SUMS</t>
  </si>
  <si>
    <t>Provisional Sum for electrical installation including distribution boards, lighting, small power, data, fire detection, as per electrical engineer's specification</t>
  </si>
  <si>
    <t>Sum</t>
  </si>
  <si>
    <t>R 850,000</t>
  </si>
  <si>
    <t>Provisional Sum for mechanical installation including air conditioning, ventilation, as per mechanical engineer's specification</t>
  </si>
  <si>
    <t>R 650,000</t>
  </si>
  <si>
    <t>Provisional Sum for plumbing installation including hot and cold water reticulation, soil and waste drainage, as per specification</t>
  </si>
  <si>
    <t>R 380,000</t>
  </si>
  <si>
    <t>Provisional Sum for fire services including fire hose reels, sprinklers (if required), fire hydrants, as per fire engineer</t>
  </si>
  <si>
    <t>R 280,000</t>
  </si>
  <si>
    <t>Provisional Sum for builder's work in connection with services, including chases, holes, making good, fire stopping</t>
  </si>
  <si>
    <t>R 120,000</t>
  </si>
  <si>
    <t>PRIME COST SUMS</t>
  </si>
  <si>
    <t>PC Sum for supply of ceramic floor tiles, 600 x 600mm, approved quality and colour</t>
  </si>
  <si>
    <t>R 62,000</t>
  </si>
  <si>
    <t>PC Sum for supply of ceramic wall tiles, 200 x 300mm, approved quality and colour</t>
  </si>
  <si>
    <t>R 12,500</t>
  </si>
  <si>
    <t>PC Sum for supply of kitchen sink and taps</t>
  </si>
  <si>
    <t>R 8,500</t>
  </si>
  <si>
    <t>PC Sum for supply of sanitary ware (WCs, basins) approved makes</t>
  </si>
  <si>
    <t>R 42,000</t>
  </si>
  <si>
    <t>PC Sum for supply of door hardware, approved makes and finishes</t>
  </si>
  <si>
    <t>R 55,000</t>
  </si>
  <si>
    <t>CONTINGENCIES</t>
  </si>
  <si>
    <t>Contingency sum for unforeseen works and variations (10%)</t>
  </si>
  <si>
    <t>P</t>
  </si>
  <si>
    <t>DAYWORK SCHEDULE</t>
  </si>
  <si>
    <t>For pricing purposes - To be used only when instructed by the Engineer</t>
  </si>
  <si>
    <t>Hours/Qty</t>
  </si>
  <si>
    <t>LABOUR</t>
  </si>
  <si>
    <t>Skilled artisan (mason, carpenter, plumber, electrician)</t>
  </si>
  <si>
    <t>Hour</t>
  </si>
  <si>
    <t>Semi-skilled worker</t>
  </si>
  <si>
    <t>Unskilled labourer</t>
  </si>
  <si>
    <t>Foreman</t>
  </si>
  <si>
    <t>PLANT AND EQUIPMENT</t>
  </si>
  <si>
    <t>Concrete mixer, 200 litre</t>
  </si>
  <si>
    <t>Compactor, vibrating plate</t>
  </si>
  <si>
    <t>Scaffolding, tubular steel</t>
  </si>
  <si>
    <t>m² per day</t>
  </si>
  <si>
    <t>Small tools and equipment</t>
  </si>
  <si>
    <t>Day</t>
  </si>
  <si>
    <t>Ladder, extension type</t>
  </si>
  <si>
    <t>MATERIALS</t>
  </si>
  <si>
    <t>Materials as required, at cost plus 15% for profit and overhead</t>
  </si>
  <si>
    <t>%</t>
  </si>
  <si>
    <t>15</t>
  </si>
  <si>
    <t>BILL NO. 19 - PLUMBING AND DRAINAGE</t>
  </si>
  <si>
    <t>COLD WATER SUPPLY</t>
  </si>
  <si>
    <t>15mm Class 12 HDPE water supply pipe, laid in trenches, including fittings</t>
  </si>
  <si>
    <t>20mm Class 12 HDPE water supply pipe, laid in trenches, including fittings</t>
  </si>
  <si>
    <t>25mm Class 12 HDPE water supply pipe, laid in trenches, including fittings</t>
  </si>
  <si>
    <t>15mm diameter copper pipe, including fittings</t>
  </si>
  <si>
    <t>22mm diameter copper pipe, including fittings</t>
  </si>
  <si>
    <t>Gate valve, 15mm brass</t>
  </si>
  <si>
    <t>Gate valve, 22mm brass</t>
  </si>
  <si>
    <t>Stop valve, 15mm brass, screw down type</t>
  </si>
  <si>
    <t>Connect to existing water main, including tapping, valve, chamber</t>
  </si>
  <si>
    <t>HOT WATER SUPPLY</t>
  </si>
  <si>
    <t>22mm diameter copper pipe for hot water, including fittings</t>
  </si>
  <si>
    <t>15mm diameter copper pipe for hot water, including fittings</t>
  </si>
  <si>
    <t>Hot water cylinder, 150 litre, stainless steel, including stand and fittings</t>
  </si>
  <si>
    <t>Electric geyser, 150 litre, 3kW element, including thermostat</t>
  </si>
  <si>
    <t>Pressure relief valve, 22mm</t>
  </si>
  <si>
    <t>Thermal expansion valve, 15mm</t>
  </si>
  <si>
    <t>SANITARY DRAINAGE</t>
  </si>
  <si>
    <t>110mm diameter PVC soil pipe, laid in trenches, including fittings</t>
  </si>
  <si>
    <t>75mm diameter PVC waste pipe, laid in trenches, including fittings</t>
  </si>
  <si>
    <t>50mm diameter PVC waste pipe, laid in trenches, including fittings</t>
  </si>
  <si>
    <t>110mm PVC inspection chamber, 600mm diameter, depth not exceeding 1m</t>
  </si>
  <si>
    <t>110mm PVC bend, 87.5 degree</t>
  </si>
  <si>
    <t>110mm PVC junction, single branch</t>
  </si>
  <si>
    <t>110mm PVC access pipe with cover</t>
  </si>
  <si>
    <t>75mm bottle trap, chrome plated brass, deep seal</t>
  </si>
  <si>
    <t>Connect to existing drainage system, including testing</t>
  </si>
  <si>
    <t>SOIL AND WASTE ABOVE GROUND</t>
  </si>
  <si>
    <t>110mm diameter PVC soil pipe, fixed vertically, including fittings</t>
  </si>
  <si>
    <t>75mm diameter PVC waste pipe, fixed to walls, including brackets</t>
  </si>
  <si>
    <t>50mm diameter PVC waste pipe, fixed to walls, including brackets</t>
  </si>
  <si>
    <t>110mm PVC soil stack connector</t>
  </si>
  <si>
    <t>110mm PVC vent cowl</t>
  </si>
  <si>
    <t>Floor waste, 75mm brass with grating, adjustable height</t>
  </si>
  <si>
    <t>Hydraulic pressure test to water pipes at 1.5 times working pressure</t>
  </si>
  <si>
    <t>Smoke test to drainage system, including temporary sealing</t>
  </si>
  <si>
    <t>Commission all plumbing installations, obtain test certificates</t>
  </si>
  <si>
    <t>BILL NO. 20 - MECHANICAL HVAC INSTALLATION</t>
  </si>
  <si>
    <t>Scope: Complete HVAC upgrade including VRF systems, ventilation, ducting</t>
  </si>
  <si>
    <t>PRELIMINARY AND GENERAL ITEMS</t>
  </si>
  <si>
    <t>Compliance with contract conditions, contract data, preliminaries, administrative costs and overheads</t>
  </si>
  <si>
    <t>Insurances (All Risks, Public Liability, Professional Indemnity)</t>
  </si>
  <si>
    <t>Construction Guarantee (Performance guarantee)</t>
  </si>
  <si>
    <t>Liaison with Main Contractor on programming and execution of works</t>
  </si>
  <si>
    <t>Liaison with other Contractors (Electrician, Plumber, etc.) for coordination</t>
  </si>
  <si>
    <t>Contract Management and Site Supervision (6 months estimated)</t>
  </si>
  <si>
    <t>Compliance with Health &amp; Safety specification including file, medicals, PPE</t>
  </si>
  <si>
    <t>Operating and Maintenance Manuals (3 printed + 1 electronic), as-built drawings</t>
  </si>
  <si>
    <t>Training of Employer's staff (8 hours + quarterly sessions)</t>
  </si>
  <si>
    <t>12 months guarantee from Practical Completion</t>
  </si>
  <si>
    <t>12 months full maintenance and service per manufacturer's specifications</t>
  </si>
  <si>
    <t>Hoisting, rigging, scaffolding for HVAC installation</t>
  </si>
  <si>
    <t>VENTILATION SYSTEMS</t>
  </si>
  <si>
    <t>FA 1 - Fan Assembly 260 L/s @ 200 Pa ESP complete with motor and drive</t>
  </si>
  <si>
    <t>FA 1 - 2D sound attenuators (inlet and outlet)</t>
  </si>
  <si>
    <t>FA 1 - System ductwork and air diffusion complete</t>
  </si>
  <si>
    <t>FA 1 - Installation, testing and commissioning</t>
  </si>
  <si>
    <t>FA 2 - Fan Assembly 280 L/s @ 200 Pa ESP complete with motor and drive</t>
  </si>
  <si>
    <t>FA 2 - 2D sound attenuators (inlet and outlet)</t>
  </si>
  <si>
    <t>FA 2 - System ductwork and air diffusion complete</t>
  </si>
  <si>
    <t>FA 2 - Installation, testing and commissioning</t>
  </si>
  <si>
    <t>VRF SYSTEM (Heat Recovery Type)</t>
  </si>
  <si>
    <t>VRF 1 - Outdoor unit, heat recovery type, 56kW min cooling capacity (Samsung/Daikin/Midea)</t>
  </si>
  <si>
    <t>Ceiling cassette units 600x600, 2.8kW cooling, with wired controller</t>
  </si>
  <si>
    <t>Ceiling cassette units 600x600, 3.6kW cooling, with wired controller</t>
  </si>
  <si>
    <t>Ceiling cassette units 600x600, 5.6kW cooling, with wired controller</t>
  </si>
  <si>
    <t>Ceiling cassette units 600x600, 7.1kW cooling, with wired controller</t>
  </si>
  <si>
    <t>MCU units - 4 port multi-connection unit</t>
  </si>
  <si>
    <t>MCU units - 6 port multi-connection unit</t>
  </si>
  <si>
    <t>Refrigerant piping 1 1/4" nominal size, insulated</t>
  </si>
  <si>
    <t>Refrigerant piping 7/8" nominal size, insulated</t>
  </si>
  <si>
    <t>Refrigerant piping 3/4" nominal size, insulated</t>
  </si>
  <si>
    <t>Refrigerant piping 5/8" nominal size, insulated</t>
  </si>
  <si>
    <t>Refrigerant piping 1/2" nominal size, insulated</t>
  </si>
  <si>
    <t>Refrigerant piping 3/8" nominal size, insulated</t>
  </si>
  <si>
    <t>Refrigerant piping 1/4" nominal size, insulated</t>
  </si>
  <si>
    <t>Y-Joint / Refnet branch controllers</t>
  </si>
  <si>
    <t>Condensate drains complete with insulation</t>
  </si>
  <si>
    <t>Installation of VRF outdoor unit including commissioning</t>
  </si>
  <si>
    <t>Installation of all cassette units (11 No. total)</t>
  </si>
  <si>
    <t>Installation of MCU units</t>
  </si>
  <si>
    <t>Installation of refrigerant piping and ancillaries</t>
  </si>
  <si>
    <t>uPVC insulated condensate drains to all indoor units</t>
  </si>
  <si>
    <t>Additional refrigerant charge (R410a)</t>
  </si>
  <si>
    <t>kg</t>
  </si>
  <si>
    <t>VRF system testing and commissioning by manufacturer's rep</t>
  </si>
  <si>
    <t>CABLE LADDERS AND WIRE WAYS</t>
  </si>
  <si>
    <t>150mm medium duty welded wire mesh cable tray, including fixing</t>
  </si>
  <si>
    <t>Wire mesh tray elbows 150mm</t>
  </si>
  <si>
    <t>Wire mesh tray tees 150mm</t>
  </si>
  <si>
    <t>Wire mesh tray risers/droppers 150mm</t>
  </si>
  <si>
    <t>CORROSION TREATMENT</t>
  </si>
  <si>
    <t>Corrosion treatment of VRF condensing unit with Bluchem</t>
  </si>
  <si>
    <t>On-site touch-up of corrosion treatment</t>
  </si>
  <si>
    <t>ELECTRICAL CONNECTIONS</t>
  </si>
  <si>
    <t>Electrically connect, test and verify power supply to indoor units (11 No.)</t>
  </si>
  <si>
    <t>Electrically connect, test and verify power supply to condensing unit</t>
  </si>
  <si>
    <t>Electrical Certificate of Compliance (COC) for HVAC installation</t>
  </si>
  <si>
    <t>CONTROLS AND CONTROL WIRING</t>
  </si>
  <si>
    <t>Wired remote controllers with setpoint adjustment</t>
  </si>
  <si>
    <t>Control wiring in 20mm PVC conduit with flexible connections</t>
  </si>
  <si>
    <t>CO2 sensors for ventilation control</t>
  </si>
  <si>
    <t>BMS integration and upgrading for HVAC system</t>
  </si>
  <si>
    <t>DUCTWORK (Galvanized Sheet Metal)</t>
  </si>
  <si>
    <t>Diameter 355mm spiral ducts, installed complete</t>
  </si>
  <si>
    <t>Diameter 275mm spiral ducts, installed complete</t>
  </si>
  <si>
    <t>Diameter 250mm spiral ducts, installed complete</t>
  </si>
  <si>
    <t>Diameter 200mm spiral ducts, installed complete</t>
  </si>
  <si>
    <t>Diameter 150mm spiral ducts, installed complete</t>
  </si>
  <si>
    <t>Diameter 100mm spiral ducts, installed complete</t>
  </si>
  <si>
    <t>DUCT FITTINGS (Galvanized Sheet Metal)</t>
  </si>
  <si>
    <t>Spigot fitting 200mm diameter</t>
  </si>
  <si>
    <t>Spigot fitting 150mm diameter</t>
  </si>
  <si>
    <t>Spigot fitting 100mm diameter</t>
  </si>
  <si>
    <t>Bend 355mm diameter</t>
  </si>
  <si>
    <t>Bend 200mm diameter</t>
  </si>
  <si>
    <t>Bend 150mm diameter</t>
  </si>
  <si>
    <t>Taper piece 355mm - 275mm</t>
  </si>
  <si>
    <t>Taper piece 355mm - 250mm</t>
  </si>
  <si>
    <t>Taper piece 275mm - 200mm</t>
  </si>
  <si>
    <t>Taper piece 250mm - 200mm</t>
  </si>
  <si>
    <t>Taper piece 200mm - 150mm</t>
  </si>
  <si>
    <t>Taper piece 150mm - 100mm</t>
  </si>
  <si>
    <t>Hanger brackets to securely support equipment, ducting, wire baskets and piping</t>
  </si>
  <si>
    <t>Filter plenum boxes with EU4 filters for ventilation systems</t>
  </si>
  <si>
    <t>Differential pressure gauges (magnehelic type) for filter monitoring</t>
  </si>
  <si>
    <t>Modulating fresh air intake dampers with actuators</t>
  </si>
  <si>
    <t>Weather louvres for fresh air intake</t>
  </si>
  <si>
    <t>Fire dampers as required by fire engineer (if specified)</t>
  </si>
  <si>
    <t>Provisional Sum for design refinement and coordination</t>
  </si>
  <si>
    <t>Prov Sum</t>
  </si>
  <si>
    <t>R 40,000</t>
  </si>
  <si>
    <t>Provisional Sum for special price adjustments</t>
  </si>
  <si>
    <t>R 15,000</t>
  </si>
  <si>
    <t>Provisional Sum for existing electrical control panel modifications</t>
  </si>
  <si>
    <t>R 35,000</t>
  </si>
  <si>
    <t>Provisional Sum for BMS upgrading and integration</t>
  </si>
  <si>
    <t>R 45,000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</si>
</sst>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6"/>
      <name val="Calibri"/>
    </font>
    <font>
      <b/>
      <sz val="14"/>
      <name val="Calibri"/>
    </font>
    <font>
      <sz val="12"/>
      <name val="Calibri"/>
    </font>
    <font>
      <b/>
      <sz val="11"/>
      <name val="Calibri"/>
    </font>
    <font>
      <sz val="11"/>
      <name val="Calibri"/>
    </font>
    <font>
      <b/>
      <sz val="12"/>
      <name val="Calibri"/>
    </font>
    <font>
      <b/>
      <sz val="10"/>
      <name val="Calibri"/>
    </font>
    <font>
      <sz val="9"/>
      <name val="Calibri"/>
    </font>
    <font>
      <i/>
      <sz val="9"/>
      <name val="Calibri"/>
    </font>
    <font>
      <sz val="10"/>
      <name val="Calibri"/>
    </font>
    <font>
      <b/>
      <u/>
      <sz val="11"/>
      <name val="Calibri"/>
    </font>
    <font>
      <b/>
      <sz val="14"/>
      <name val="Calibri"/>
    </font>
    <font>
      <sz val="11"/>
      <color theme="1"/>
      <name val="Calibri"/>
    </font>
    <font>
      <b/>
      <sz val="12"/>
      <name val="Calibri"/>
    </font>
    <font>
      <b/>
      <sz val="11"/>
      <name val="Calibri"/>
    </font>
    <font>
      <b/>
      <sz val="11"/>
      <color rgb="FFFFFFFF"/>
      <name val="Calibri"/>
    </font>
    <font>
      <b/>
      <sz val="10"/>
      <name val="Calibri"/>
    </font>
    <font>
      <b/>
      <sz val="11"/>
      <name val="Calibri"/>
    </font>
    <font>
      <b/>
      <i/>
      <sz val="9"/>
      <name val="Calibri"/>
    </font>
    <font>
      <b/>
      <sz val="9"/>
      <name val="Calibri"/>
    </font>
    <font>
      <i/>
      <sz val="8"/>
      <name val="Calibri"/>
    </font>
    <font>
      <i/>
      <sz val="9"/>
      <name val="Calibri"/>
    </font>
    <font>
      <sz val="10"/>
      <name val="Calibri"/>
    </font>
    <font>
      <i/>
      <sz val="10"/>
      <name val="Calibri"/>
    </font>
    <font>
      <b/>
      <u/>
      <sz val="9"/>
      <name val="Calibri"/>
    </font>
    <font>
      <i/>
      <sz val="11"/>
      <name val="Calibri"/>
    </font>
    <font>
      <b/>
      <u/>
      <sz val="10"/>
      <name val="Calibri"/>
    </font>
  </fonts>
  <fills count="10">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
      <patternFill patternType="solid">
        <fgColor rgb="FF366092"/>
      </patternFill>
    </fill>
    <fill>
      <patternFill patternType="solid">
        <fgColor rgb="FFD9E1F2"/>
      </patternFill>
    </fill>
    <fill>
      <patternFill patternType="solid">
        <fgColor rgb="FFE7E6E6"/>
      </patternFill>
    </fill>
    <fill>
      <patternFill patternType="solid">
        <fgColor rgb="FFD9F2D9"/>
      </patternFill>
    </fill>
    <fill>
      <patternFill patternType="solid">
        <fgColor rgb="FFD9D9D9"/>
        <bgColor rgb="FFD9D9D9"/>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right" vertical="center"/>
    </xf>
    <xf numFmtId="4" fontId="13" fillId="0" borderId="1" xfId="0" applyNumberFormat="1" applyFont="1" applyBorder="1" applyAlignment="1">
      <alignment horizontal="right" vertical="center"/>
    </xf>
    <xf numFmtId="0" fontId="17" fillId="3" borderId="1" xfId="0" applyFont="1" applyFill="1" applyBorder="1" applyAlignment="1">
      <alignment horizontal="center" vertical="center"/>
    </xf>
    <xf numFmtId="0" fontId="18" fillId="0" borderId="1" xfId="0" applyFont="1" applyBorder="1" applyAlignment="1">
      <alignment horizontal="center" vertical="center"/>
    </xf>
    <xf numFmtId="0" fontId="13" fillId="0" borderId="1" xfId="0" applyFont="1" applyBorder="1"/>
    <xf numFmtId="0" fontId="18" fillId="4" borderId="1" xfId="0" applyFont="1" applyFill="1" applyBorder="1" applyAlignment="1">
      <alignment horizontal="center" vertical="center"/>
    </xf>
    <xf numFmtId="0" fontId="18" fillId="4" borderId="1" xfId="0" applyFont="1" applyFill="1" applyBorder="1" applyAlignment="1">
      <alignment horizontal="left" vertical="center" wrapText="1"/>
    </xf>
    <xf numFmtId="4" fontId="18" fillId="4" borderId="1" xfId="0" applyNumberFormat="1" applyFont="1" applyFill="1" applyBorder="1" applyAlignment="1">
      <alignment horizontal="right" vertical="center"/>
    </xf>
    <xf numFmtId="0" fontId="18" fillId="4" borderId="1" xfId="0" applyFont="1" applyFill="1" applyBorder="1" applyAlignment="1">
      <alignment horizontal="right" vertical="center"/>
    </xf>
    <xf numFmtId="0" fontId="13" fillId="0" borderId="2" xfId="0" applyFont="1" applyBorder="1"/>
    <xf numFmtId="0" fontId="13" fillId="0" borderId="3" xfId="0" applyFont="1" applyBorder="1"/>
    <xf numFmtId="0" fontId="17" fillId="0" borderId="1" xfId="0" applyFont="1" applyBorder="1"/>
    <xf numFmtId="0" fontId="15" fillId="5" borderId="0" xfId="0" applyFont="1" applyFill="1" applyAlignment="1">
      <alignment horizontal="center" vertical="center"/>
    </xf>
    <xf numFmtId="0" fontId="18"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center" vertical="center"/>
    </xf>
    <xf numFmtId="4" fontId="5" fillId="0" borderId="0" xfId="0" applyNumberFormat="1" applyFont="1" applyAlignment="1">
      <alignment horizontal="right" vertical="center"/>
    </xf>
    <xf numFmtId="0" fontId="20" fillId="0" borderId="0" xfId="0" applyFont="1"/>
    <xf numFmtId="4" fontId="18" fillId="0" borderId="0" xfId="0" applyNumberFormat="1" applyFont="1"/>
    <xf numFmtId="0" fontId="18" fillId="0" borderId="0" xfId="0" applyFont="1"/>
    <xf numFmtId="4" fontId="5" fillId="0" borderId="0" xfId="0" applyNumberFormat="1" applyFont="1"/>
    <xf numFmtId="0" fontId="15" fillId="0" borderId="0" xfId="0" applyFont="1"/>
    <xf numFmtId="4" fontId="15" fillId="7" borderId="0" xfId="0" applyNumberFormat="1" applyFont="1" applyFill="1"/>
    <xf numFmtId="0" fontId="17" fillId="0" borderId="0" xfId="0" applyFont="1"/>
    <xf numFmtId="0" fontId="22" fillId="0" borderId="0" xfId="0" applyFont="1"/>
    <xf numFmtId="0" fontId="23" fillId="0" borderId="0" xfId="0" applyFont="1" applyAlignment="1">
      <alignment horizontal="left" vertical="top" wrapText="1"/>
    </xf>
    <xf numFmtId="0" fontId="23" fillId="7" borderId="0" xfId="0" applyFont="1" applyFill="1" applyAlignment="1">
      <alignment horizontal="left" vertical="top" wrapText="1"/>
    </xf>
    <xf numFmtId="0" fontId="23" fillId="8" borderId="0" xfId="0" applyFont="1" applyFill="1" applyAlignment="1">
      <alignment horizontal="left" vertical="top" wrapText="1"/>
    </xf>
    <xf numFmtId="0" fontId="24" fillId="0" borderId="0" xfId="0" applyFont="1"/>
    <xf numFmtId="0" fontId="7" fillId="9" borderId="1" xfId="0" applyFont="1" applyFill="1" applyBorder="1" applyAlignment="1">
      <alignment horizontal="center" vertical="center"/>
    </xf>
    <xf numFmtId="0" fontId="10" fillId="0" borderId="0" xfId="0" applyFont="1" applyAlignment="1">
      <alignment vertical="top" wrapText="1"/>
    </xf>
    <xf numFmtId="0" fontId="25" fillId="0" borderId="0" xfId="0" applyFont="1"/>
    <xf numFmtId="0" fontId="7" fillId="9" borderId="0" xfId="0" applyFont="1" applyFill="1"/>
    <xf numFmtId="0" fontId="26" fillId="0" borderId="0" xfId="0" applyFont="1"/>
    <xf numFmtId="0" fontId="27" fillId="0" borderId="0" xfId="0" applyFont="1"/>
    <xf numFmtId="0" fontId="14" fillId="0" borderId="1" xfId="0" applyFont="1" applyBorder="1"/>
    <xf numFmtId="0" fontId="0" fillId="0" borderId="2" xfId="0" applyBorder="1"/>
    <xf numFmtId="0" fontId="0" fillId="0" borderId="3" xfId="0" applyBorder="1"/>
    <xf numFmtId="0" fontId="18" fillId="4"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1" xfId="0" applyFont="1" applyBorder="1"/>
    <xf numFmtId="0" fontId="15" fillId="0" borderId="1" xfId="0" applyFont="1" applyBorder="1"/>
    <xf numFmtId="0" fontId="0" fillId="0" borderId="0" xfId="0"/>
    <xf numFmtId="0" fontId="18" fillId="0" borderId="1" xfId="0" applyFont="1" applyBorder="1" applyAlignment="1">
      <alignment horizontal="center" vertical="center"/>
    </xf>
    <xf numFmtId="0" fontId="19" fillId="7" borderId="0" xfId="0" applyFont="1" applyFill="1" applyAlignment="1">
      <alignment horizontal="left" vertical="center" wrapText="1"/>
    </xf>
    <xf numFmtId="0" fontId="17" fillId="6" borderId="0" xfId="0" applyFont="1" applyFill="1" applyAlignment="1">
      <alignment horizontal="left" vertical="center" wrapText="1"/>
    </xf>
    <xf numFmtId="0" fontId="17" fillId="0" borderId="0" xfId="0" applyFont="1"/>
    <xf numFmtId="0" fontId="23" fillId="0" borderId="0" xfId="0" applyFont="1" applyAlignment="1">
      <alignment horizontal="left" vertical="top" wrapText="1"/>
    </xf>
    <xf numFmtId="0" fontId="22" fillId="0" borderId="0" xfId="0" applyFont="1"/>
    <xf numFmtId="0" fontId="15" fillId="0" borderId="0" xfId="0" applyFont="1"/>
    <xf numFmtId="0" fontId="21" fillId="0" borderId="0" xfId="0" applyFont="1"/>
    <xf numFmtId="0" fontId="1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7"/>
  <sheetViews>
    <sheetView workbookViewId="0"/>
  </sheetViews>
  <sheetFormatPr defaultRowHeight="14.4"/>
  <cols>
    <col min="1" max="1" width="5" customWidth="1"/>
    <col min="2" max="2" width="40" customWidth="1"/>
    <col min="3" max="3" width="50" customWidth="1"/>
  </cols>
  <sheetData>
    <row r="2" spans="2:3" ht="21">
      <c r="B2" s="1" t="s">
        <v>0</v>
      </c>
    </row>
    <row r="3" spans="2:3" ht="18">
      <c r="B3" s="2" t="s">
        <v>1</v>
      </c>
    </row>
    <row r="4" spans="2:3" ht="15.6">
      <c r="B4" s="3" t="s">
        <v>2</v>
      </c>
    </row>
    <row r="6" spans="2:3">
      <c r="B6" s="4" t="s">
        <v>3</v>
      </c>
    </row>
    <row r="7" spans="2:3">
      <c r="B7" s="5" t="s">
        <v>4</v>
      </c>
    </row>
    <row r="9" spans="2:3" ht="15.6">
      <c r="B9" s="6" t="s">
        <v>5</v>
      </c>
    </row>
    <row r="11" spans="2:3">
      <c r="B11" s="7" t="s">
        <v>6</v>
      </c>
      <c r="C11" s="8" t="s">
        <v>7</v>
      </c>
    </row>
    <row r="12" spans="2:3">
      <c r="B12" s="7" t="s">
        <v>8</v>
      </c>
      <c r="C12" s="8" t="s">
        <v>9</v>
      </c>
    </row>
    <row r="13" spans="2:3">
      <c r="B13" s="7" t="s">
        <v>10</v>
      </c>
      <c r="C13" s="8" t="s">
        <v>11</v>
      </c>
    </row>
    <row r="14" spans="2:3">
      <c r="B14" s="7" t="s">
        <v>12</v>
      </c>
      <c r="C14" s="8" t="s">
        <v>13</v>
      </c>
    </row>
    <row r="15" spans="2:3">
      <c r="B15" s="7" t="s">
        <v>14</v>
      </c>
      <c r="C15" s="8" t="s">
        <v>15</v>
      </c>
    </row>
    <row r="16" spans="2:3">
      <c r="B16" s="7" t="s">
        <v>16</v>
      </c>
      <c r="C16" s="8" t="s">
        <v>17</v>
      </c>
    </row>
    <row r="17" spans="2:3">
      <c r="B17" s="7" t="s">
        <v>18</v>
      </c>
      <c r="C17" s="8" t="s">
        <v>19</v>
      </c>
    </row>
    <row r="18" spans="2:3">
      <c r="B18" s="7" t="s">
        <v>20</v>
      </c>
      <c r="C18" s="8" t="s">
        <v>21</v>
      </c>
    </row>
    <row r="19" spans="2:3">
      <c r="B19" s="7" t="s">
        <v>22</v>
      </c>
      <c r="C19" s="8" t="s">
        <v>23</v>
      </c>
    </row>
    <row r="20" spans="2:3">
      <c r="B20" s="7" t="s">
        <v>24</v>
      </c>
      <c r="C20" s="8" t="s">
        <v>25</v>
      </c>
    </row>
    <row r="21" spans="2:3">
      <c r="B21" s="7" t="s">
        <v>26</v>
      </c>
      <c r="C21" s="8" t="s">
        <v>27</v>
      </c>
    </row>
    <row r="22" spans="2:3">
      <c r="B22" s="7" t="s">
        <v>28</v>
      </c>
      <c r="C22" s="8" t="s">
        <v>29</v>
      </c>
    </row>
    <row r="23" spans="2:3">
      <c r="B23" s="7" t="s">
        <v>30</v>
      </c>
      <c r="C23" s="8" t="s">
        <v>31</v>
      </c>
    </row>
    <row r="24" spans="2:3">
      <c r="B24" s="7" t="s">
        <v>32</v>
      </c>
      <c r="C24" s="8" t="s">
        <v>33</v>
      </c>
    </row>
    <row r="25" spans="2:3">
      <c r="B25" s="7" t="s">
        <v>34</v>
      </c>
      <c r="C25" s="8" t="s">
        <v>35</v>
      </c>
    </row>
    <row r="26" spans="2:3">
      <c r="B26" s="7" t="s">
        <v>36</v>
      </c>
      <c r="C26" s="8" t="s">
        <v>37</v>
      </c>
    </row>
    <row r="27" spans="2:3">
      <c r="B27" s="7" t="s">
        <v>38</v>
      </c>
      <c r="C27" s="8" t="s">
        <v>39</v>
      </c>
    </row>
    <row r="29" spans="2:3" ht="15.6">
      <c r="B29" s="6" t="s">
        <v>40</v>
      </c>
    </row>
    <row r="30" spans="2:3">
      <c r="B30" s="9" t="s">
        <v>41</v>
      </c>
    </row>
    <row r="31" spans="2:3">
      <c r="B31" s="9" t="s">
        <v>42</v>
      </c>
    </row>
    <row r="32" spans="2:3">
      <c r="B32" s="9" t="s">
        <v>43</v>
      </c>
    </row>
    <row r="33" spans="2:2">
      <c r="B33" s="9" t="s">
        <v>44</v>
      </c>
    </row>
    <row r="34" spans="2:2">
      <c r="B34" s="9" t="s">
        <v>45</v>
      </c>
    </row>
    <row r="35" spans="2:2">
      <c r="B35" s="9" t="s">
        <v>46</v>
      </c>
    </row>
    <row r="36" spans="2:2">
      <c r="B36" s="9" t="s">
        <v>47</v>
      </c>
    </row>
    <row r="37" spans="2:2">
      <c r="B3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heetViews>
  <sheetFormatPr defaultRowHeight="14.4"/>
  <cols>
    <col min="1" max="1" width="6" customWidth="1"/>
    <col min="2" max="2" width="40" customWidth="1"/>
    <col min="3" max="4" width="15" customWidth="1"/>
  </cols>
  <sheetData>
    <row r="1" spans="1:4" ht="18">
      <c r="B1" s="2" t="s">
        <v>49</v>
      </c>
    </row>
    <row r="2" spans="1:4">
      <c r="B2" s="49" t="s">
        <v>50</v>
      </c>
    </row>
    <row r="5" spans="1:4">
      <c r="A5" s="48" t="s">
        <v>51</v>
      </c>
      <c r="B5" s="48" t="s">
        <v>52</v>
      </c>
      <c r="C5" s="48" t="s">
        <v>53</v>
      </c>
      <c r="D5" s="48"/>
    </row>
    <row r="7" spans="1:4">
      <c r="A7" s="10" t="s">
        <v>54</v>
      </c>
      <c r="B7" s="10" t="s">
        <v>55</v>
      </c>
    </row>
    <row r="8" spans="1:4">
      <c r="A8" s="10" t="s">
        <v>56</v>
      </c>
      <c r="B8" s="10" t="s">
        <v>57</v>
      </c>
    </row>
    <row r="9" spans="1:4">
      <c r="A9" s="10" t="s">
        <v>58</v>
      </c>
      <c r="B9" s="10" t="s">
        <v>59</v>
      </c>
    </row>
    <row r="10" spans="1:4">
      <c r="A10" s="10" t="s">
        <v>60</v>
      </c>
      <c r="B10" s="10" t="s">
        <v>61</v>
      </c>
    </row>
    <row r="11" spans="1:4">
      <c r="A11" s="10" t="s">
        <v>62</v>
      </c>
      <c r="B11" s="10" t="s">
        <v>63</v>
      </c>
    </row>
    <row r="12" spans="1:4">
      <c r="A12" s="10" t="s">
        <v>64</v>
      </c>
      <c r="B12" s="10" t="s">
        <v>65</v>
      </c>
    </row>
    <row r="13" spans="1:4">
      <c r="A13" s="10" t="s">
        <v>66</v>
      </c>
      <c r="B13" s="10" t="s">
        <v>67</v>
      </c>
    </row>
    <row r="14" spans="1:4">
      <c r="A14" s="10" t="s">
        <v>68</v>
      </c>
      <c r="B14" s="10" t="s">
        <v>69</v>
      </c>
    </row>
    <row r="15" spans="1:4">
      <c r="A15" s="10" t="s">
        <v>70</v>
      </c>
      <c r="B15" s="10" t="s">
        <v>71</v>
      </c>
    </row>
    <row r="16" spans="1:4">
      <c r="A16" s="10" t="s">
        <v>72</v>
      </c>
      <c r="B16" s="10" t="s">
        <v>73</v>
      </c>
    </row>
    <row r="17" spans="1:3">
      <c r="A17" s="10" t="s">
        <v>74</v>
      </c>
      <c r="B17" s="10" t="s">
        <v>75</v>
      </c>
    </row>
    <row r="18" spans="1:3">
      <c r="A18" s="10" t="s">
        <v>76</v>
      </c>
      <c r="B18" s="10" t="s">
        <v>77</v>
      </c>
    </row>
    <row r="19" spans="1:3">
      <c r="A19" s="10" t="s">
        <v>78</v>
      </c>
      <c r="B19" s="10" t="s">
        <v>79</v>
      </c>
    </row>
    <row r="20" spans="1:3">
      <c r="A20" s="10" t="s">
        <v>80</v>
      </c>
      <c r="B20" s="10" t="s">
        <v>81</v>
      </c>
    </row>
    <row r="21" spans="1:3">
      <c r="A21" s="10" t="s">
        <v>82</v>
      </c>
      <c r="B21" s="10" t="s">
        <v>83</v>
      </c>
    </row>
    <row r="22" spans="1:3">
      <c r="A22" s="10" t="s">
        <v>84</v>
      </c>
      <c r="B22" s="10" t="s">
        <v>85</v>
      </c>
    </row>
    <row r="23" spans="1:3">
      <c r="A23" s="10" t="s">
        <v>86</v>
      </c>
      <c r="B23" s="10" t="s">
        <v>87</v>
      </c>
    </row>
    <row r="24" spans="1:3">
      <c r="A24" s="10" t="s">
        <v>88</v>
      </c>
      <c r="B24" s="10" t="s">
        <v>89</v>
      </c>
    </row>
    <row r="25" spans="1:3">
      <c r="A25" s="10" t="s">
        <v>90</v>
      </c>
      <c r="B25" s="10" t="s">
        <v>91</v>
      </c>
    </row>
    <row r="26" spans="1:3">
      <c r="B26" s="7" t="s">
        <v>92</v>
      </c>
      <c r="C26" s="7"/>
    </row>
    <row r="27" spans="1:3">
      <c r="B27" s="10" t="s">
        <v>93</v>
      </c>
    </row>
    <row r="28" spans="1:3">
      <c r="B28" s="7" t="s">
        <v>94</v>
      </c>
      <c r="C28" s="7"/>
    </row>
    <row r="29" spans="1:3">
      <c r="B29" s="10" t="s">
        <v>95</v>
      </c>
    </row>
    <row r="31" spans="1:3" ht="15.6">
      <c r="B31" s="6" t="s">
        <v>96</v>
      </c>
      <c r="C31"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343"/>
  <sheetViews>
    <sheetView workbookViewId="0"/>
  </sheetViews>
  <sheetFormatPr defaultRowHeight="14.4"/>
  <cols>
    <col min="1" max="1" width="5" customWidth="1"/>
    <col min="2" max="2" width="100" customWidth="1"/>
  </cols>
  <sheetData>
    <row r="1" spans="2:2" ht="18">
      <c r="B1" s="2" t="s">
        <v>97</v>
      </c>
    </row>
    <row r="3" spans="2:2" ht="15.6">
      <c r="B3" s="6" t="s">
        <v>98</v>
      </c>
    </row>
    <row r="5" spans="2:2">
      <c r="B5" s="10" t="s">
        <v>99</v>
      </c>
    </row>
    <row r="7" spans="2:2">
      <c r="B7" s="11" t="s">
        <v>100</v>
      </c>
    </row>
    <row r="9" spans="2:2">
      <c r="B9" s="10" t="s">
        <v>101</v>
      </c>
    </row>
    <row r="10" spans="2:2">
      <c r="B10" s="10" t="s">
        <v>102</v>
      </c>
    </row>
    <row r="11" spans="2:2">
      <c r="B11" s="10" t="s">
        <v>103</v>
      </c>
    </row>
    <row r="12" spans="2:2">
      <c r="B12" s="10" t="s">
        <v>104</v>
      </c>
    </row>
    <row r="13" spans="2:2">
      <c r="B13" s="10" t="s">
        <v>105</v>
      </c>
    </row>
    <row r="14" spans="2:2">
      <c r="B14" s="10" t="s">
        <v>106</v>
      </c>
    </row>
    <row r="15" spans="2:2">
      <c r="B15" s="10" t="s">
        <v>107</v>
      </c>
    </row>
    <row r="16" spans="2:2">
      <c r="B16" s="10" t="s">
        <v>108</v>
      </c>
    </row>
    <row r="17" spans="2:2">
      <c r="B17" s="10" t="s">
        <v>109</v>
      </c>
    </row>
    <row r="18" spans="2:2">
      <c r="B18" s="10" t="s">
        <v>110</v>
      </c>
    </row>
    <row r="19" spans="2:2">
      <c r="B19" s="10" t="s">
        <v>111</v>
      </c>
    </row>
    <row r="20" spans="2:2">
      <c r="B20" s="10" t="s">
        <v>112</v>
      </c>
    </row>
    <row r="21" spans="2:2">
      <c r="B21" s="10" t="s">
        <v>113</v>
      </c>
    </row>
    <row r="22" spans="2:2">
      <c r="B22" s="10" t="s">
        <v>114</v>
      </c>
    </row>
    <row r="23" spans="2:2">
      <c r="B23" s="10" t="s">
        <v>115</v>
      </c>
    </row>
    <row r="24" spans="2:2">
      <c r="B24" s="10" t="s">
        <v>116</v>
      </c>
    </row>
    <row r="25" spans="2:2">
      <c r="B25" s="10" t="s">
        <v>117</v>
      </c>
    </row>
    <row r="26" spans="2:2">
      <c r="B26" s="10" t="s">
        <v>118</v>
      </c>
    </row>
    <row r="27" spans="2:2">
      <c r="B27" s="10" t="s">
        <v>119</v>
      </c>
    </row>
    <row r="28" spans="2:2">
      <c r="B28" s="10" t="s">
        <v>120</v>
      </c>
    </row>
    <row r="29" spans="2:2">
      <c r="B29" s="10" t="s">
        <v>121</v>
      </c>
    </row>
    <row r="30" spans="2:2">
      <c r="B30" s="10" t="s">
        <v>122</v>
      </c>
    </row>
    <row r="31" spans="2:2">
      <c r="B31" s="10" t="s">
        <v>123</v>
      </c>
    </row>
    <row r="32" spans="2:2">
      <c r="B32" s="10" t="s">
        <v>124</v>
      </c>
    </row>
    <row r="33" spans="2:2">
      <c r="B33" s="10" t="s">
        <v>125</v>
      </c>
    </row>
    <row r="34" spans="2:2">
      <c r="B34" s="10" t="s">
        <v>126</v>
      </c>
    </row>
    <row r="35" spans="2:2">
      <c r="B35" s="10" t="s">
        <v>127</v>
      </c>
    </row>
    <row r="36" spans="2:2">
      <c r="B36" s="10" t="s">
        <v>128</v>
      </c>
    </row>
    <row r="37" spans="2:2">
      <c r="B37" s="10" t="s">
        <v>129</v>
      </c>
    </row>
    <row r="38" spans="2:2">
      <c r="B38" s="10" t="s">
        <v>130</v>
      </c>
    </row>
    <row r="39" spans="2:2">
      <c r="B39" s="10" t="s">
        <v>131</v>
      </c>
    </row>
    <row r="40" spans="2:2">
      <c r="B40" s="10" t="s">
        <v>132</v>
      </c>
    </row>
    <row r="41" spans="2:2">
      <c r="B41" s="10" t="s">
        <v>133</v>
      </c>
    </row>
    <row r="42" spans="2:2">
      <c r="B42" s="10" t="s">
        <v>134</v>
      </c>
    </row>
    <row r="43" spans="2:2">
      <c r="B43" s="10" t="s">
        <v>135</v>
      </c>
    </row>
    <row r="44" spans="2:2">
      <c r="B44" s="10" t="s">
        <v>136</v>
      </c>
    </row>
    <row r="45" spans="2:2">
      <c r="B45" s="10" t="s">
        <v>137</v>
      </c>
    </row>
    <row r="46" spans="2:2">
      <c r="B46" s="10" t="s">
        <v>138</v>
      </c>
    </row>
    <row r="47" spans="2:2">
      <c r="B47" s="10" t="s">
        <v>139</v>
      </c>
    </row>
    <row r="48" spans="2:2">
      <c r="B48" s="10" t="s">
        <v>140</v>
      </c>
    </row>
    <row r="49" spans="2:2">
      <c r="B49" s="10" t="s">
        <v>141</v>
      </c>
    </row>
    <row r="50" spans="2:2">
      <c r="B50" s="10" t="s">
        <v>142</v>
      </c>
    </row>
    <row r="51" spans="2:2">
      <c r="B51" s="10" t="s">
        <v>143</v>
      </c>
    </row>
    <row r="52" spans="2:2">
      <c r="B52" s="10" t="s">
        <v>144</v>
      </c>
    </row>
    <row r="53" spans="2:2">
      <c r="B53" s="10" t="s">
        <v>145</v>
      </c>
    </row>
    <row r="54" spans="2:2">
      <c r="B54" s="10" t="s">
        <v>146</v>
      </c>
    </row>
    <row r="55" spans="2:2">
      <c r="B55" s="10" t="s">
        <v>147</v>
      </c>
    </row>
    <row r="56" spans="2:2">
      <c r="B56" s="10" t="s">
        <v>148</v>
      </c>
    </row>
    <row r="57" spans="2:2">
      <c r="B57" s="10" t="s">
        <v>149</v>
      </c>
    </row>
    <row r="58" spans="2:2">
      <c r="B58" s="10" t="s">
        <v>150</v>
      </c>
    </row>
    <row r="59" spans="2:2">
      <c r="B59" s="10" t="s">
        <v>151</v>
      </c>
    </row>
    <row r="60" spans="2:2">
      <c r="B60" s="10" t="s">
        <v>152</v>
      </c>
    </row>
    <row r="61" spans="2:2">
      <c r="B61" s="10" t="s">
        <v>153</v>
      </c>
    </row>
    <row r="62" spans="2:2">
      <c r="B62" s="10" t="s">
        <v>154</v>
      </c>
    </row>
    <row r="63" spans="2:2">
      <c r="B63" s="10" t="s">
        <v>155</v>
      </c>
    </row>
    <row r="64" spans="2:2">
      <c r="B64" s="10" t="s">
        <v>156</v>
      </c>
    </row>
    <row r="65" spans="2:2">
      <c r="B65" s="10" t="s">
        <v>157</v>
      </c>
    </row>
    <row r="66" spans="2:2">
      <c r="B66" s="10" t="s">
        <v>158</v>
      </c>
    </row>
    <row r="67" spans="2:2">
      <c r="B67" s="10" t="s">
        <v>159</v>
      </c>
    </row>
    <row r="68" spans="2:2">
      <c r="B68" s="10" t="s">
        <v>158</v>
      </c>
    </row>
    <row r="69" spans="2:2">
      <c r="B69" s="10" t="s">
        <v>160</v>
      </c>
    </row>
    <row r="70" spans="2:2">
      <c r="B70" s="10" t="s">
        <v>161</v>
      </c>
    </row>
    <row r="71" spans="2:2">
      <c r="B71" s="10" t="s">
        <v>162</v>
      </c>
    </row>
    <row r="72" spans="2:2">
      <c r="B72" s="10" t="s">
        <v>158</v>
      </c>
    </row>
    <row r="73" spans="2:2">
      <c r="B73" s="10" t="s">
        <v>163</v>
      </c>
    </row>
    <row r="74" spans="2:2">
      <c r="B74" s="10" t="s">
        <v>164</v>
      </c>
    </row>
    <row r="75" spans="2:2">
      <c r="B75" s="10" t="s">
        <v>165</v>
      </c>
    </row>
    <row r="76" spans="2:2">
      <c r="B76" s="10" t="s">
        <v>166</v>
      </c>
    </row>
    <row r="77" spans="2:2">
      <c r="B77" s="10" t="s">
        <v>146</v>
      </c>
    </row>
    <row r="78" spans="2:2">
      <c r="B78" s="10" t="s">
        <v>167</v>
      </c>
    </row>
    <row r="79" spans="2:2">
      <c r="B79" s="10" t="s">
        <v>168</v>
      </c>
    </row>
    <row r="80" spans="2:2">
      <c r="B80" s="10" t="s">
        <v>169</v>
      </c>
    </row>
    <row r="81" spans="2:2">
      <c r="B81" s="10" t="s">
        <v>170</v>
      </c>
    </row>
    <row r="82" spans="2:2">
      <c r="B82" s="10" t="s">
        <v>171</v>
      </c>
    </row>
    <row r="83" spans="2:2">
      <c r="B83" s="10" t="s">
        <v>172</v>
      </c>
    </row>
    <row r="84" spans="2:2">
      <c r="B84" s="10" t="s">
        <v>173</v>
      </c>
    </row>
    <row r="85" spans="2:2">
      <c r="B85" s="10" t="s">
        <v>174</v>
      </c>
    </row>
    <row r="86" spans="2:2">
      <c r="B86" s="10" t="s">
        <v>175</v>
      </c>
    </row>
    <row r="87" spans="2:2">
      <c r="B87" s="10" t="s">
        <v>176</v>
      </c>
    </row>
    <row r="88" spans="2:2">
      <c r="B88" s="10" t="s">
        <v>177</v>
      </c>
    </row>
    <row r="89" spans="2:2">
      <c r="B89" s="10" t="s">
        <v>178</v>
      </c>
    </row>
    <row r="90" spans="2:2">
      <c r="B90" s="10" t="s">
        <v>179</v>
      </c>
    </row>
    <row r="91" spans="2:2">
      <c r="B91" s="10" t="s">
        <v>180</v>
      </c>
    </row>
    <row r="92" spans="2:2">
      <c r="B92" s="10" t="s">
        <v>181</v>
      </c>
    </row>
    <row r="93" spans="2:2">
      <c r="B93" s="10" t="s">
        <v>182</v>
      </c>
    </row>
    <row r="94" spans="2:2">
      <c r="B94" s="10" t="s">
        <v>183</v>
      </c>
    </row>
    <row r="95" spans="2:2">
      <c r="B95" s="10" t="s">
        <v>184</v>
      </c>
    </row>
    <row r="96" spans="2:2">
      <c r="B96" s="10" t="s">
        <v>185</v>
      </c>
    </row>
    <row r="97" spans="2:2">
      <c r="B97" s="10" t="s">
        <v>186</v>
      </c>
    </row>
    <row r="98" spans="2:2">
      <c r="B98" s="10" t="s">
        <v>187</v>
      </c>
    </row>
    <row r="99" spans="2:2">
      <c r="B99" s="10" t="s">
        <v>188</v>
      </c>
    </row>
    <row r="100" spans="2:2">
      <c r="B100" s="10" t="s">
        <v>189</v>
      </c>
    </row>
    <row r="101" spans="2:2">
      <c r="B101" s="10" t="s">
        <v>190</v>
      </c>
    </row>
    <row r="102" spans="2:2">
      <c r="B102" s="10" t="s">
        <v>191</v>
      </c>
    </row>
    <row r="103" spans="2:2">
      <c r="B103" s="10" t="s">
        <v>192</v>
      </c>
    </row>
    <row r="104" spans="2:2">
      <c r="B104" s="10" t="s">
        <v>193</v>
      </c>
    </row>
    <row r="105" spans="2:2">
      <c r="B105" s="10" t="s">
        <v>194</v>
      </c>
    </row>
    <row r="106" spans="2:2">
      <c r="B106" s="10" t="s">
        <v>195</v>
      </c>
    </row>
    <row r="107" spans="2:2">
      <c r="B107" s="10" t="s">
        <v>196</v>
      </c>
    </row>
    <row r="108" spans="2:2">
      <c r="B108" s="10" t="s">
        <v>197</v>
      </c>
    </row>
    <row r="109" spans="2:2">
      <c r="B109" s="10" t="s">
        <v>198</v>
      </c>
    </row>
    <row r="110" spans="2:2">
      <c r="B110" s="10" t="s">
        <v>199</v>
      </c>
    </row>
    <row r="111" spans="2:2">
      <c r="B111" s="10" t="s">
        <v>200</v>
      </c>
    </row>
    <row r="112" spans="2:2">
      <c r="B112" s="10" t="s">
        <v>201</v>
      </c>
    </row>
    <row r="113" spans="2:2">
      <c r="B113" s="10" t="s">
        <v>202</v>
      </c>
    </row>
    <row r="114" spans="2:2">
      <c r="B114" s="10" t="s">
        <v>203</v>
      </c>
    </row>
    <row r="115" spans="2:2">
      <c r="B115" s="10" t="s">
        <v>204</v>
      </c>
    </row>
    <row r="116" spans="2:2">
      <c r="B116" s="10" t="s">
        <v>205</v>
      </c>
    </row>
    <row r="117" spans="2:2">
      <c r="B117" s="10" t="s">
        <v>206</v>
      </c>
    </row>
    <row r="118" spans="2:2">
      <c r="B118" s="10" t="s">
        <v>207</v>
      </c>
    </row>
    <row r="119" spans="2:2">
      <c r="B119" s="10" t="s">
        <v>208</v>
      </c>
    </row>
    <row r="120" spans="2:2">
      <c r="B120" s="10" t="s">
        <v>209</v>
      </c>
    </row>
    <row r="121" spans="2:2">
      <c r="B121" s="10" t="s">
        <v>210</v>
      </c>
    </row>
    <row r="122" spans="2:2">
      <c r="B122" s="10" t="s">
        <v>211</v>
      </c>
    </row>
    <row r="123" spans="2:2">
      <c r="B123" s="10" t="s">
        <v>212</v>
      </c>
    </row>
    <row r="124" spans="2:2">
      <c r="B124" s="10" t="s">
        <v>213</v>
      </c>
    </row>
    <row r="125" spans="2:2">
      <c r="B125" s="10" t="s">
        <v>214</v>
      </c>
    </row>
    <row r="126" spans="2:2">
      <c r="B126" s="10" t="s">
        <v>215</v>
      </c>
    </row>
    <row r="127" spans="2:2">
      <c r="B127" s="10" t="s">
        <v>216</v>
      </c>
    </row>
    <row r="128" spans="2:2">
      <c r="B128" s="10" t="s">
        <v>217</v>
      </c>
    </row>
    <row r="129" spans="2:2">
      <c r="B129" s="10" t="s">
        <v>218</v>
      </c>
    </row>
    <row r="130" spans="2:2">
      <c r="B130" s="10" t="s">
        <v>219</v>
      </c>
    </row>
    <row r="131" spans="2:2">
      <c r="B131" s="10" t="s">
        <v>220</v>
      </c>
    </row>
    <row r="132" spans="2:2">
      <c r="B132" s="10" t="s">
        <v>221</v>
      </c>
    </row>
    <row r="133" spans="2:2">
      <c r="B133" s="10" t="s">
        <v>222</v>
      </c>
    </row>
    <row r="134" spans="2:2">
      <c r="B134" s="10" t="s">
        <v>223</v>
      </c>
    </row>
    <row r="135" spans="2:2">
      <c r="B135" s="10" t="s">
        <v>224</v>
      </c>
    </row>
    <row r="136" spans="2:2">
      <c r="B136" s="10" t="s">
        <v>225</v>
      </c>
    </row>
    <row r="137" spans="2:2">
      <c r="B137" s="10" t="s">
        <v>226</v>
      </c>
    </row>
    <row r="138" spans="2:2">
      <c r="B138" s="10" t="s">
        <v>227</v>
      </c>
    </row>
    <row r="139" spans="2:2">
      <c r="B139" s="10" t="s">
        <v>228</v>
      </c>
    </row>
    <row r="140" spans="2:2">
      <c r="B140" s="10" t="s">
        <v>229</v>
      </c>
    </row>
    <row r="141" spans="2:2">
      <c r="B141" s="10" t="s">
        <v>230</v>
      </c>
    </row>
    <row r="142" spans="2:2">
      <c r="B142" s="10" t="s">
        <v>231</v>
      </c>
    </row>
    <row r="143" spans="2:2">
      <c r="B143" s="10" t="s">
        <v>232</v>
      </c>
    </row>
    <row r="144" spans="2:2">
      <c r="B144" s="10" t="s">
        <v>233</v>
      </c>
    </row>
    <row r="145" spans="2:2">
      <c r="B145" s="10" t="s">
        <v>234</v>
      </c>
    </row>
    <row r="146" spans="2:2">
      <c r="B146" s="10" t="s">
        <v>235</v>
      </c>
    </row>
    <row r="147" spans="2:2">
      <c r="B147" s="10" t="s">
        <v>236</v>
      </c>
    </row>
    <row r="148" spans="2:2">
      <c r="B148" s="10" t="s">
        <v>237</v>
      </c>
    </row>
    <row r="149" spans="2:2">
      <c r="B149" s="10" t="s">
        <v>238</v>
      </c>
    </row>
    <row r="150" spans="2:2">
      <c r="B150" s="10" t="s">
        <v>239</v>
      </c>
    </row>
    <row r="151" spans="2:2">
      <c r="B151" s="10" t="s">
        <v>240</v>
      </c>
    </row>
    <row r="152" spans="2:2">
      <c r="B152" s="10" t="s">
        <v>241</v>
      </c>
    </row>
    <row r="153" spans="2:2">
      <c r="B153" s="10" t="s">
        <v>242</v>
      </c>
    </row>
    <row r="154" spans="2:2">
      <c r="B154" s="10" t="s">
        <v>243</v>
      </c>
    </row>
    <row r="155" spans="2:2">
      <c r="B155" s="10" t="s">
        <v>244</v>
      </c>
    </row>
    <row r="156" spans="2:2">
      <c r="B156" s="10" t="s">
        <v>245</v>
      </c>
    </row>
    <row r="157" spans="2:2">
      <c r="B157" s="10" t="s">
        <v>246</v>
      </c>
    </row>
    <row r="158" spans="2:2">
      <c r="B158" s="10" t="s">
        <v>247</v>
      </c>
    </row>
    <row r="159" spans="2:2">
      <c r="B159" s="10" t="s">
        <v>248</v>
      </c>
    </row>
    <row r="160" spans="2:2">
      <c r="B160" s="10" t="s">
        <v>249</v>
      </c>
    </row>
    <row r="161" spans="2:2">
      <c r="B161" s="10" t="s">
        <v>250</v>
      </c>
    </row>
    <row r="162" spans="2:2">
      <c r="B162" s="10" t="s">
        <v>251</v>
      </c>
    </row>
    <row r="163" spans="2:2">
      <c r="B163" s="10" t="s">
        <v>252</v>
      </c>
    </row>
    <row r="164" spans="2:2">
      <c r="B164" s="10" t="s">
        <v>253</v>
      </c>
    </row>
    <row r="165" spans="2:2">
      <c r="B165" s="10" t="s">
        <v>254</v>
      </c>
    </row>
    <row r="166" spans="2:2">
      <c r="B166" s="10" t="s">
        <v>255</v>
      </c>
    </row>
    <row r="167" spans="2:2">
      <c r="B167" s="10" t="s">
        <v>256</v>
      </c>
    </row>
    <row r="168" spans="2:2">
      <c r="B168" s="10" t="s">
        <v>257</v>
      </c>
    </row>
    <row r="169" spans="2:2">
      <c r="B169" s="10" t="s">
        <v>258</v>
      </c>
    </row>
    <row r="170" spans="2:2">
      <c r="B170" s="10" t="s">
        <v>259</v>
      </c>
    </row>
    <row r="171" spans="2:2">
      <c r="B171" s="10" t="s">
        <v>260</v>
      </c>
    </row>
    <row r="172" spans="2:2">
      <c r="B172" s="10" t="s">
        <v>261</v>
      </c>
    </row>
    <row r="173" spans="2:2">
      <c r="B173" s="10" t="s">
        <v>262</v>
      </c>
    </row>
    <row r="174" spans="2:2">
      <c r="B174" s="10" t="s">
        <v>263</v>
      </c>
    </row>
    <row r="175" spans="2:2">
      <c r="B175" s="10" t="s">
        <v>264</v>
      </c>
    </row>
    <row r="176" spans="2:2">
      <c r="B176" s="10" t="s">
        <v>265</v>
      </c>
    </row>
    <row r="177" spans="2:2">
      <c r="B177" s="10" t="s">
        <v>266</v>
      </c>
    </row>
    <row r="178" spans="2:2">
      <c r="B178" s="10" t="s">
        <v>267</v>
      </c>
    </row>
    <row r="179" spans="2:2">
      <c r="B179" s="10" t="s">
        <v>268</v>
      </c>
    </row>
    <row r="180" spans="2:2">
      <c r="B180" s="10" t="s">
        <v>269</v>
      </c>
    </row>
    <row r="181" spans="2:2">
      <c r="B181" s="10" t="s">
        <v>270</v>
      </c>
    </row>
    <row r="182" spans="2:2">
      <c r="B182" s="10" t="s">
        <v>271</v>
      </c>
    </row>
    <row r="183" spans="2:2">
      <c r="B183" s="10" t="s">
        <v>272</v>
      </c>
    </row>
    <row r="184" spans="2:2">
      <c r="B184" s="10" t="s">
        <v>273</v>
      </c>
    </row>
    <row r="185" spans="2:2">
      <c r="B185" s="10" t="s">
        <v>274</v>
      </c>
    </row>
    <row r="186" spans="2:2">
      <c r="B186" s="10" t="s">
        <v>275</v>
      </c>
    </row>
    <row r="187" spans="2:2">
      <c r="B187" s="10" t="s">
        <v>276</v>
      </c>
    </row>
    <row r="188" spans="2:2">
      <c r="B188" s="10" t="s">
        <v>277</v>
      </c>
    </row>
    <row r="189" spans="2:2">
      <c r="B189" s="10" t="s">
        <v>278</v>
      </c>
    </row>
    <row r="190" spans="2:2">
      <c r="B190" s="10" t="s">
        <v>279</v>
      </c>
    </row>
    <row r="191" spans="2:2">
      <c r="B191" s="10" t="s">
        <v>280</v>
      </c>
    </row>
    <row r="192" spans="2:2">
      <c r="B192" s="10" t="s">
        <v>281</v>
      </c>
    </row>
    <row r="193" spans="2:2">
      <c r="B193" s="10" t="s">
        <v>282</v>
      </c>
    </row>
    <row r="194" spans="2:2">
      <c r="B194" s="10" t="s">
        <v>283</v>
      </c>
    </row>
    <row r="195" spans="2:2">
      <c r="B195" s="10" t="s">
        <v>284</v>
      </c>
    </row>
    <row r="196" spans="2:2">
      <c r="B196" s="10" t="s">
        <v>285</v>
      </c>
    </row>
    <row r="197" spans="2:2">
      <c r="B197" s="10" t="s">
        <v>286</v>
      </c>
    </row>
    <row r="198" spans="2:2">
      <c r="B198" s="10" t="s">
        <v>287</v>
      </c>
    </row>
    <row r="199" spans="2:2">
      <c r="B199" s="10" t="s">
        <v>288</v>
      </c>
    </row>
    <row r="200" spans="2:2">
      <c r="B200" s="10" t="s">
        <v>289</v>
      </c>
    </row>
    <row r="201" spans="2:2">
      <c r="B201" s="10" t="s">
        <v>290</v>
      </c>
    </row>
    <row r="202" spans="2:2">
      <c r="B202" s="10" t="s">
        <v>291</v>
      </c>
    </row>
    <row r="203" spans="2:2">
      <c r="B203" s="10" t="s">
        <v>292</v>
      </c>
    </row>
    <row r="204" spans="2:2">
      <c r="B204" s="10" t="s">
        <v>293</v>
      </c>
    </row>
    <row r="205" spans="2:2">
      <c r="B205" s="10" t="s">
        <v>294</v>
      </c>
    </row>
    <row r="206" spans="2:2">
      <c r="B206" s="10" t="s">
        <v>295</v>
      </c>
    </row>
    <row r="207" spans="2:2">
      <c r="B207" s="10" t="s">
        <v>296</v>
      </c>
    </row>
    <row r="208" spans="2:2">
      <c r="B208" s="10" t="s">
        <v>297</v>
      </c>
    </row>
    <row r="209" spans="2:2">
      <c r="B209" s="10" t="s">
        <v>298</v>
      </c>
    </row>
    <row r="210" spans="2:2">
      <c r="B210" s="10" t="s">
        <v>299</v>
      </c>
    </row>
    <row r="211" spans="2:2">
      <c r="B211" s="10" t="s">
        <v>300</v>
      </c>
    </row>
    <row r="212" spans="2:2">
      <c r="B212" s="10" t="s">
        <v>301</v>
      </c>
    </row>
    <row r="213" spans="2:2">
      <c r="B213" s="10" t="s">
        <v>302</v>
      </c>
    </row>
    <row r="214" spans="2:2">
      <c r="B214" s="10" t="s">
        <v>303</v>
      </c>
    </row>
    <row r="215" spans="2:2">
      <c r="B215" s="10" t="s">
        <v>304</v>
      </c>
    </row>
    <row r="216" spans="2:2">
      <c r="B216" s="10" t="s">
        <v>305</v>
      </c>
    </row>
    <row r="217" spans="2:2">
      <c r="B217" s="10" t="s">
        <v>306</v>
      </c>
    </row>
    <row r="218" spans="2:2">
      <c r="B218" s="10" t="s">
        <v>307</v>
      </c>
    </row>
    <row r="219" spans="2:2">
      <c r="B219" s="10" t="s">
        <v>308</v>
      </c>
    </row>
    <row r="220" spans="2:2">
      <c r="B220" s="10" t="s">
        <v>309</v>
      </c>
    </row>
    <row r="221" spans="2:2">
      <c r="B221" s="10" t="s">
        <v>310</v>
      </c>
    </row>
    <row r="222" spans="2:2">
      <c r="B222" s="10" t="s">
        <v>311</v>
      </c>
    </row>
    <row r="223" spans="2:2">
      <c r="B223" s="10" t="s">
        <v>312</v>
      </c>
    </row>
    <row r="224" spans="2:2">
      <c r="B224" s="10" t="s">
        <v>313</v>
      </c>
    </row>
    <row r="225" spans="2:2">
      <c r="B225" s="10" t="s">
        <v>314</v>
      </c>
    </row>
    <row r="226" spans="2:2">
      <c r="B226" s="10" t="s">
        <v>315</v>
      </c>
    </row>
    <row r="227" spans="2:2">
      <c r="B227" s="10" t="s">
        <v>316</v>
      </c>
    </row>
    <row r="228" spans="2:2">
      <c r="B228" s="10" t="s">
        <v>317</v>
      </c>
    </row>
    <row r="229" spans="2:2">
      <c r="B229" s="10" t="s">
        <v>318</v>
      </c>
    </row>
    <row r="230" spans="2:2">
      <c r="B230" s="10" t="s">
        <v>319</v>
      </c>
    </row>
    <row r="231" spans="2:2">
      <c r="B231" s="10" t="s">
        <v>320</v>
      </c>
    </row>
    <row r="232" spans="2:2">
      <c r="B232" s="10" t="s">
        <v>321</v>
      </c>
    </row>
    <row r="233" spans="2:2">
      <c r="B233" s="10" t="s">
        <v>322</v>
      </c>
    </row>
    <row r="234" spans="2:2">
      <c r="B234" s="10" t="s">
        <v>323</v>
      </c>
    </row>
    <row r="235" spans="2:2">
      <c r="B235" s="10" t="s">
        <v>324</v>
      </c>
    </row>
    <row r="236" spans="2:2">
      <c r="B236" s="10" t="s">
        <v>325</v>
      </c>
    </row>
    <row r="237" spans="2:2">
      <c r="B237" s="10" t="s">
        <v>326</v>
      </c>
    </row>
    <row r="238" spans="2:2">
      <c r="B238" s="10" t="s">
        <v>327</v>
      </c>
    </row>
    <row r="239" spans="2:2">
      <c r="B239" s="10" t="s">
        <v>328</v>
      </c>
    </row>
    <row r="240" spans="2:2">
      <c r="B240" s="10" t="s">
        <v>329</v>
      </c>
    </row>
    <row r="241" spans="2:2">
      <c r="B241" s="10" t="s">
        <v>330</v>
      </c>
    </row>
    <row r="242" spans="2:2">
      <c r="B242" s="10" t="s">
        <v>331</v>
      </c>
    </row>
    <row r="243" spans="2:2">
      <c r="B243" s="10" t="s">
        <v>332</v>
      </c>
    </row>
    <row r="244" spans="2:2">
      <c r="B244" s="10" t="s">
        <v>333</v>
      </c>
    </row>
    <row r="245" spans="2:2">
      <c r="B245" s="10" t="s">
        <v>334</v>
      </c>
    </row>
    <row r="246" spans="2:2">
      <c r="B246" s="10" t="s">
        <v>335</v>
      </c>
    </row>
    <row r="247" spans="2:2">
      <c r="B247" s="10" t="s">
        <v>336</v>
      </c>
    </row>
    <row r="248" spans="2:2">
      <c r="B248" s="10" t="s">
        <v>337</v>
      </c>
    </row>
    <row r="249" spans="2:2">
      <c r="B249" s="10" t="s">
        <v>338</v>
      </c>
    </row>
    <row r="250" spans="2:2">
      <c r="B250" s="10" t="s">
        <v>339</v>
      </c>
    </row>
    <row r="251" spans="2:2">
      <c r="B251" s="10" t="s">
        <v>340</v>
      </c>
    </row>
    <row r="252" spans="2:2">
      <c r="B252" s="10" t="s">
        <v>341</v>
      </c>
    </row>
    <row r="253" spans="2:2">
      <c r="B253" s="10" t="s">
        <v>342</v>
      </c>
    </row>
    <row r="254" spans="2:2">
      <c r="B254" s="10" t="s">
        <v>343</v>
      </c>
    </row>
    <row r="255" spans="2:2">
      <c r="B255" s="10" t="s">
        <v>344</v>
      </c>
    </row>
    <row r="256" spans="2:2">
      <c r="B256" s="10" t="s">
        <v>345</v>
      </c>
    </row>
    <row r="257" spans="2:2">
      <c r="B257" s="10" t="s">
        <v>346</v>
      </c>
    </row>
    <row r="258" spans="2:2">
      <c r="B258" s="10" t="s">
        <v>347</v>
      </c>
    </row>
    <row r="259" spans="2:2">
      <c r="B259" s="10" t="s">
        <v>348</v>
      </c>
    </row>
    <row r="260" spans="2:2">
      <c r="B260" s="10" t="s">
        <v>349</v>
      </c>
    </row>
    <row r="261" spans="2:2">
      <c r="B261" s="10" t="s">
        <v>350</v>
      </c>
    </row>
    <row r="262" spans="2:2">
      <c r="B262" s="10" t="s">
        <v>351</v>
      </c>
    </row>
    <row r="263" spans="2:2">
      <c r="B263" s="10" t="s">
        <v>352</v>
      </c>
    </row>
    <row r="264" spans="2:2">
      <c r="B264" s="10" t="s">
        <v>353</v>
      </c>
    </row>
    <row r="265" spans="2:2">
      <c r="B265" s="10" t="s">
        <v>354</v>
      </c>
    </row>
    <row r="266" spans="2:2">
      <c r="B266" s="10" t="s">
        <v>355</v>
      </c>
    </row>
    <row r="267" spans="2:2">
      <c r="B267" s="10" t="s">
        <v>356</v>
      </c>
    </row>
    <row r="268" spans="2:2">
      <c r="B268" s="10" t="s">
        <v>357</v>
      </c>
    </row>
    <row r="269" spans="2:2">
      <c r="B269" s="10" t="s">
        <v>358</v>
      </c>
    </row>
    <row r="270" spans="2:2">
      <c r="B270" s="10" t="s">
        <v>359</v>
      </c>
    </row>
    <row r="271" spans="2:2">
      <c r="B271" s="10" t="s">
        <v>360</v>
      </c>
    </row>
    <row r="272" spans="2:2">
      <c r="B272" s="10" t="s">
        <v>361</v>
      </c>
    </row>
    <row r="273" spans="2:2">
      <c r="B273" s="10" t="s">
        <v>362</v>
      </c>
    </row>
    <row r="274" spans="2:2">
      <c r="B274" s="10" t="s">
        <v>355</v>
      </c>
    </row>
    <row r="275" spans="2:2">
      <c r="B275" s="10" t="s">
        <v>363</v>
      </c>
    </row>
    <row r="276" spans="2:2">
      <c r="B276" s="10" t="s">
        <v>364</v>
      </c>
    </row>
    <row r="277" spans="2:2">
      <c r="B277" s="10" t="s">
        <v>365</v>
      </c>
    </row>
    <row r="278" spans="2:2">
      <c r="B278" s="10" t="s">
        <v>366</v>
      </c>
    </row>
    <row r="279" spans="2:2">
      <c r="B279" s="10" t="s">
        <v>367</v>
      </c>
    </row>
    <row r="280" spans="2:2">
      <c r="B280" s="10" t="s">
        <v>368</v>
      </c>
    </row>
    <row r="281" spans="2:2">
      <c r="B281" s="10" t="s">
        <v>369</v>
      </c>
    </row>
    <row r="282" spans="2:2">
      <c r="B282" s="10" t="s">
        <v>370</v>
      </c>
    </row>
    <row r="283" spans="2:2">
      <c r="B283" s="10" t="s">
        <v>371</v>
      </c>
    </row>
    <row r="284" spans="2:2">
      <c r="B284" s="10" t="s">
        <v>344</v>
      </c>
    </row>
    <row r="285" spans="2:2">
      <c r="B285" s="10" t="s">
        <v>372</v>
      </c>
    </row>
    <row r="286" spans="2:2">
      <c r="B286" s="10" t="s">
        <v>373</v>
      </c>
    </row>
    <row r="287" spans="2:2">
      <c r="B287" s="10" t="s">
        <v>374</v>
      </c>
    </row>
    <row r="288" spans="2:2">
      <c r="B288" s="10" t="s">
        <v>375</v>
      </c>
    </row>
    <row r="289" spans="2:2">
      <c r="B289" s="10" t="s">
        <v>346</v>
      </c>
    </row>
    <row r="290" spans="2:2">
      <c r="B290" s="10" t="s">
        <v>347</v>
      </c>
    </row>
    <row r="291" spans="2:2">
      <c r="B291" s="10" t="s">
        <v>376</v>
      </c>
    </row>
    <row r="292" spans="2:2">
      <c r="B292" s="10" t="s">
        <v>349</v>
      </c>
    </row>
    <row r="293" spans="2:2">
      <c r="B293" s="10" t="s">
        <v>350</v>
      </c>
    </row>
    <row r="294" spans="2:2">
      <c r="B294" s="10" t="s">
        <v>351</v>
      </c>
    </row>
    <row r="295" spans="2:2">
      <c r="B295" s="10" t="s">
        <v>360</v>
      </c>
    </row>
    <row r="296" spans="2:2">
      <c r="B296" s="10" t="s">
        <v>354</v>
      </c>
    </row>
    <row r="297" spans="2:2">
      <c r="B297" s="10" t="s">
        <v>355</v>
      </c>
    </row>
    <row r="298" spans="2:2">
      <c r="B298" s="10" t="s">
        <v>377</v>
      </c>
    </row>
    <row r="299" spans="2:2">
      <c r="B299" s="10" t="s">
        <v>378</v>
      </c>
    </row>
    <row r="300" spans="2:2">
      <c r="B300" s="10" t="s">
        <v>379</v>
      </c>
    </row>
    <row r="301" spans="2:2">
      <c r="B301" s="10" t="s">
        <v>380</v>
      </c>
    </row>
    <row r="302" spans="2:2">
      <c r="B302" s="10" t="s">
        <v>381</v>
      </c>
    </row>
    <row r="303" spans="2:2">
      <c r="B303" s="10" t="s">
        <v>382</v>
      </c>
    </row>
    <row r="304" spans="2:2">
      <c r="B304" s="10" t="s">
        <v>383</v>
      </c>
    </row>
    <row r="305" spans="2:2">
      <c r="B305" s="10" t="s">
        <v>384</v>
      </c>
    </row>
    <row r="306" spans="2:2">
      <c r="B306" s="10" t="s">
        <v>385</v>
      </c>
    </row>
    <row r="307" spans="2:2">
      <c r="B307" s="10" t="s">
        <v>386</v>
      </c>
    </row>
    <row r="308" spans="2:2">
      <c r="B308" s="10" t="s">
        <v>387</v>
      </c>
    </row>
    <row r="309" spans="2:2">
      <c r="B309" s="10" t="s">
        <v>388</v>
      </c>
    </row>
    <row r="310" spans="2:2">
      <c r="B310" s="10" t="s">
        <v>389</v>
      </c>
    </row>
    <row r="311" spans="2:2">
      <c r="B311" s="10" t="s">
        <v>390</v>
      </c>
    </row>
    <row r="312" spans="2:2">
      <c r="B312" s="10" t="s">
        <v>391</v>
      </c>
    </row>
    <row r="313" spans="2:2">
      <c r="B313" s="10" t="s">
        <v>392</v>
      </c>
    </row>
    <row r="314" spans="2:2">
      <c r="B314" s="10" t="s">
        <v>393</v>
      </c>
    </row>
    <row r="315" spans="2:2">
      <c r="B315" s="10" t="s">
        <v>394</v>
      </c>
    </row>
    <row r="316" spans="2:2">
      <c r="B316" s="10" t="s">
        <v>395</v>
      </c>
    </row>
    <row r="317" spans="2:2">
      <c r="B317" s="10" t="s">
        <v>396</v>
      </c>
    </row>
    <row r="318" spans="2:2">
      <c r="B318" s="10" t="s">
        <v>397</v>
      </c>
    </row>
    <row r="319" spans="2:2">
      <c r="B319" s="10" t="s">
        <v>398</v>
      </c>
    </row>
    <row r="320" spans="2:2">
      <c r="B320" s="10" t="s">
        <v>399</v>
      </c>
    </row>
    <row r="321" spans="2:2">
      <c r="B321" s="10" t="s">
        <v>400</v>
      </c>
    </row>
    <row r="322" spans="2:2">
      <c r="B322" s="10" t="s">
        <v>401</v>
      </c>
    </row>
    <row r="323" spans="2:2">
      <c r="B323" s="10" t="s">
        <v>402</v>
      </c>
    </row>
    <row r="324" spans="2:2">
      <c r="B324" s="10" t="s">
        <v>403</v>
      </c>
    </row>
    <row r="325" spans="2:2">
      <c r="B325" s="10" t="s">
        <v>404</v>
      </c>
    </row>
    <row r="326" spans="2:2">
      <c r="B326" s="10" t="s">
        <v>405</v>
      </c>
    </row>
    <row r="327" spans="2:2">
      <c r="B327" s="10" t="s">
        <v>406</v>
      </c>
    </row>
    <row r="328" spans="2:2">
      <c r="B328" s="10" t="s">
        <v>407</v>
      </c>
    </row>
    <row r="329" spans="2:2">
      <c r="B329" s="10" t="s">
        <v>408</v>
      </c>
    </row>
    <row r="330" spans="2:2">
      <c r="B330" s="10" t="s">
        <v>409</v>
      </c>
    </row>
    <row r="331" spans="2:2">
      <c r="B331" s="10" t="s">
        <v>410</v>
      </c>
    </row>
    <row r="332" spans="2:2">
      <c r="B332" s="10" t="s">
        <v>411</v>
      </c>
    </row>
    <row r="333" spans="2:2">
      <c r="B333" s="10" t="s">
        <v>412</v>
      </c>
    </row>
    <row r="334" spans="2:2">
      <c r="B334" s="10" t="s">
        <v>413</v>
      </c>
    </row>
    <row r="335" spans="2:2">
      <c r="B335" s="10" t="s">
        <v>414</v>
      </c>
    </row>
    <row r="336" spans="2:2">
      <c r="B336" s="10" t="s">
        <v>415</v>
      </c>
    </row>
    <row r="337" spans="2:2">
      <c r="B337" s="10" t="s">
        <v>416</v>
      </c>
    </row>
    <row r="338" spans="2:2">
      <c r="B338" s="10" t="s">
        <v>417</v>
      </c>
    </row>
    <row r="339" spans="2:2">
      <c r="B339" s="10" t="s">
        <v>418</v>
      </c>
    </row>
    <row r="340" spans="2:2">
      <c r="B340" s="10" t="s">
        <v>419</v>
      </c>
    </row>
    <row r="341" spans="2:2">
      <c r="B341" s="10" t="s">
        <v>420</v>
      </c>
    </row>
    <row r="342" spans="2:2">
      <c r="B342" s="10" t="s">
        <v>421</v>
      </c>
    </row>
    <row r="343" spans="2:2">
      <c r="B343" s="4" t="s">
        <v>422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5"/>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423</v>
      </c>
    </row>
    <row r="2" spans="1:6">
      <c r="B2" s="44" t="s">
        <v>50</v>
      </c>
    </row>
    <row r="4" spans="1:6">
      <c r="A4" s="48" t="s">
        <v>424</v>
      </c>
      <c r="B4" s="48" t="s">
        <v>52</v>
      </c>
      <c r="C4" s="48" t="s">
        <v>425</v>
      </c>
      <c r="D4" s="48" t="s">
        <v>426</v>
      </c>
      <c r="E4" s="48" t="s">
        <v>427</v>
      </c>
      <c r="F4" s="48" t="s">
        <v>428</v>
      </c>
    </row>
    <row r="6" spans="1:6">
      <c r="B6" s="11" t="s">
        <v>429</v>
      </c>
    </row>
    <row r="8" spans="1:6">
      <c r="A8">
        <v>1</v>
      </c>
      <c r="B8" s="46" t="s">
        <v>430</v>
      </c>
      <c r="C8" t="s">
        <v>424</v>
      </c>
      <c r="D8">
        <v>1</v>
      </c>
    </row>
    <row r="9" spans="1:6">
      <c r="A9">
        <v>2</v>
      </c>
      <c r="B9" s="46" t="s">
        <v>431</v>
      </c>
      <c r="C9" t="s">
        <v>424</v>
      </c>
      <c r="D9">
        <v>1</v>
      </c>
    </row>
    <row r="10" spans="1:6">
      <c r="A10">
        <v>3</v>
      </c>
      <c r="B10" s="46" t="s">
        <v>432</v>
      </c>
      <c r="C10" t="s">
        <v>424</v>
      </c>
      <c r="D10">
        <v>1</v>
      </c>
    </row>
    <row r="11" spans="1:6">
      <c r="A11">
        <v>4</v>
      </c>
      <c r="B11" s="46" t="s">
        <v>433</v>
      </c>
      <c r="C11" t="s">
        <v>424</v>
      </c>
      <c r="D11">
        <v>1</v>
      </c>
    </row>
    <row r="13" spans="1:6">
      <c r="B13" s="11" t="s">
        <v>434</v>
      </c>
    </row>
    <row r="15" spans="1:6">
      <c r="A15">
        <v>5</v>
      </c>
      <c r="B15" s="46" t="s">
        <v>435</v>
      </c>
      <c r="C15" t="s">
        <v>436</v>
      </c>
      <c r="D15">
        <v>6</v>
      </c>
    </row>
    <row r="16" spans="1:6">
      <c r="A16">
        <v>6</v>
      </c>
      <c r="B16" s="46" t="s">
        <v>437</v>
      </c>
      <c r="C16" t="s">
        <v>436</v>
      </c>
      <c r="D16">
        <v>6</v>
      </c>
    </row>
    <row r="17" spans="1:4">
      <c r="A17">
        <v>7</v>
      </c>
      <c r="B17" s="46" t="s">
        <v>438</v>
      </c>
      <c r="C17" t="s">
        <v>436</v>
      </c>
      <c r="D17">
        <v>6</v>
      </c>
    </row>
    <row r="18" spans="1:4">
      <c r="A18">
        <v>8</v>
      </c>
      <c r="B18" s="46" t="s">
        <v>439</v>
      </c>
      <c r="C18" t="s">
        <v>436</v>
      </c>
      <c r="D18">
        <v>6</v>
      </c>
    </row>
    <row r="19" spans="1:4" ht="27.6">
      <c r="A19">
        <v>9</v>
      </c>
      <c r="B19" s="46" t="s">
        <v>440</v>
      </c>
      <c r="C19" t="s">
        <v>436</v>
      </c>
      <c r="D19">
        <v>6</v>
      </c>
    </row>
    <row r="20" spans="1:4">
      <c r="A20">
        <v>10</v>
      </c>
      <c r="B20" s="46" t="s">
        <v>441</v>
      </c>
      <c r="C20" t="s">
        <v>424</v>
      </c>
      <c r="D20">
        <v>1</v>
      </c>
    </row>
    <row r="21" spans="1:4">
      <c r="A21">
        <v>11</v>
      </c>
      <c r="B21" s="46" t="s">
        <v>442</v>
      </c>
      <c r="C21" t="s">
        <v>424</v>
      </c>
      <c r="D21">
        <v>1</v>
      </c>
    </row>
    <row r="23" spans="1:4">
      <c r="B23" s="11" t="s">
        <v>443</v>
      </c>
    </row>
    <row r="25" spans="1:4" ht="27.6">
      <c r="A25">
        <v>12</v>
      </c>
      <c r="B25" s="46" t="s">
        <v>444</v>
      </c>
      <c r="C25" t="s">
        <v>445</v>
      </c>
      <c r="D25">
        <v>380</v>
      </c>
    </row>
    <row r="26" spans="1:4">
      <c r="A26">
        <v>13</v>
      </c>
      <c r="B26" s="46" t="s">
        <v>446</v>
      </c>
      <c r="C26" t="s">
        <v>424</v>
      </c>
      <c r="D26">
        <v>1</v>
      </c>
    </row>
    <row r="27" spans="1:4">
      <c r="A27">
        <v>14</v>
      </c>
      <c r="B27" s="46" t="s">
        <v>447</v>
      </c>
      <c r="C27" t="s">
        <v>424</v>
      </c>
      <c r="D27">
        <v>1</v>
      </c>
    </row>
    <row r="29" spans="1:4">
      <c r="B29" s="11" t="s">
        <v>448</v>
      </c>
    </row>
    <row r="31" spans="1:4">
      <c r="A31">
        <v>15</v>
      </c>
      <c r="B31" s="46" t="s">
        <v>449</v>
      </c>
      <c r="C31" t="s">
        <v>424</v>
      </c>
      <c r="D31">
        <v>1</v>
      </c>
    </row>
    <row r="32" spans="1:4">
      <c r="A32">
        <v>16</v>
      </c>
      <c r="B32" s="46" t="s">
        <v>450</v>
      </c>
      <c r="C32" t="s">
        <v>424</v>
      </c>
      <c r="D32">
        <v>1</v>
      </c>
    </row>
    <row r="33" spans="1:4">
      <c r="A33">
        <v>17</v>
      </c>
      <c r="B33" s="46" t="s">
        <v>451</v>
      </c>
      <c r="C33" t="s">
        <v>436</v>
      </c>
      <c r="D33">
        <v>6</v>
      </c>
    </row>
    <row r="34" spans="1:4">
      <c r="A34">
        <v>18</v>
      </c>
      <c r="B34" s="46" t="s">
        <v>452</v>
      </c>
      <c r="C34" t="s">
        <v>424</v>
      </c>
      <c r="D34">
        <v>1</v>
      </c>
    </row>
    <row r="36" spans="1:4">
      <c r="B36" s="11" t="s">
        <v>453</v>
      </c>
    </row>
    <row r="38" spans="1:4">
      <c r="A38">
        <v>19</v>
      </c>
      <c r="B38" s="46" t="s">
        <v>454</v>
      </c>
      <c r="C38" t="s">
        <v>424</v>
      </c>
      <c r="D38">
        <v>1</v>
      </c>
    </row>
    <row r="39" spans="1:4">
      <c r="A39">
        <v>20</v>
      </c>
      <c r="B39" s="46" t="s">
        <v>455</v>
      </c>
      <c r="C39" t="s">
        <v>436</v>
      </c>
      <c r="D39">
        <v>6</v>
      </c>
    </row>
    <row r="40" spans="1:4">
      <c r="A40">
        <v>21</v>
      </c>
      <c r="B40" s="46" t="s">
        <v>456</v>
      </c>
      <c r="C40" t="s">
        <v>424</v>
      </c>
      <c r="D40">
        <v>1</v>
      </c>
    </row>
    <row r="41" spans="1:4">
      <c r="A41">
        <v>22</v>
      </c>
      <c r="B41" s="46" t="s">
        <v>457</v>
      </c>
      <c r="C41" t="s">
        <v>436</v>
      </c>
      <c r="D41">
        <v>6</v>
      </c>
    </row>
    <row r="42" spans="1:4">
      <c r="A42">
        <v>23</v>
      </c>
      <c r="B42" s="46" t="s">
        <v>458</v>
      </c>
      <c r="C42" t="s">
        <v>436</v>
      </c>
      <c r="D42">
        <v>6</v>
      </c>
    </row>
    <row r="44" spans="1:4">
      <c r="B44" s="11" t="s">
        <v>459</v>
      </c>
    </row>
    <row r="46" spans="1:4">
      <c r="A46">
        <v>24</v>
      </c>
      <c r="B46" s="46" t="s">
        <v>460</v>
      </c>
      <c r="C46" t="s">
        <v>424</v>
      </c>
      <c r="D46">
        <v>1</v>
      </c>
    </row>
    <row r="47" spans="1:4">
      <c r="A47">
        <v>25</v>
      </c>
      <c r="B47" s="46" t="s">
        <v>461</v>
      </c>
      <c r="C47" t="s">
        <v>424</v>
      </c>
      <c r="D47">
        <v>1</v>
      </c>
    </row>
    <row r="48" spans="1:4">
      <c r="A48">
        <v>26</v>
      </c>
      <c r="B48" s="46" t="s">
        <v>462</v>
      </c>
      <c r="C48" t="s">
        <v>463</v>
      </c>
      <c r="D48">
        <v>10</v>
      </c>
    </row>
    <row r="49" spans="1:4">
      <c r="A49">
        <v>27</v>
      </c>
      <c r="B49" s="46" t="s">
        <v>464</v>
      </c>
      <c r="C49" t="s">
        <v>463</v>
      </c>
      <c r="D49">
        <v>8</v>
      </c>
    </row>
    <row r="51" spans="1:4">
      <c r="B51" s="11" t="s">
        <v>465</v>
      </c>
    </row>
    <row r="53" spans="1:4">
      <c r="A53">
        <v>28</v>
      </c>
      <c r="B53" s="46" t="s">
        <v>466</v>
      </c>
      <c r="C53" t="s">
        <v>467</v>
      </c>
      <c r="D53">
        <v>26</v>
      </c>
    </row>
    <row r="54" spans="1:4">
      <c r="A54">
        <v>29</v>
      </c>
      <c r="B54" s="46" t="s">
        <v>468</v>
      </c>
      <c r="C54" t="s">
        <v>424</v>
      </c>
      <c r="D54">
        <v>1</v>
      </c>
    </row>
    <row r="55" spans="1:4" ht="27.6">
      <c r="A55">
        <v>30</v>
      </c>
      <c r="B55" s="46" t="s">
        <v>469</v>
      </c>
      <c r="C55" t="s">
        <v>424</v>
      </c>
      <c r="D55">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5"/>
  <sheetViews>
    <sheetView workbookViewId="0"/>
  </sheetViews>
  <sheetFormatPr defaultRowHeight="14.4"/>
  <cols>
    <col min="1" max="1" width="8" customWidth="1"/>
    <col min="2" max="2" width="60" customWidth="1"/>
    <col min="3" max="3" width="12" customWidth="1"/>
    <col min="4" max="4" width="10" customWidth="1"/>
    <col min="5" max="5" width="12" customWidth="1"/>
    <col min="6" max="6" width="15" customWidth="1"/>
  </cols>
  <sheetData>
    <row r="1" spans="1:6" ht="18">
      <c r="A1" s="56" t="s">
        <v>0</v>
      </c>
      <c r="B1" s="52"/>
      <c r="C1" s="52"/>
      <c r="D1" s="52"/>
      <c r="E1" s="52"/>
      <c r="F1" s="53"/>
    </row>
    <row r="2" spans="1:6" ht="15.6">
      <c r="A2" s="51" t="s">
        <v>470</v>
      </c>
      <c r="B2" s="52"/>
      <c r="C2" s="52"/>
      <c r="D2" s="52"/>
      <c r="E2" s="52"/>
      <c r="F2" s="53"/>
    </row>
    <row r="3" spans="1:6" ht="15.6">
      <c r="A3" s="51" t="s">
        <v>471</v>
      </c>
      <c r="B3" s="52"/>
      <c r="C3" s="52"/>
      <c r="D3" s="52"/>
      <c r="E3" s="52"/>
      <c r="F3" s="53"/>
    </row>
    <row r="5" spans="1:6">
      <c r="A5" s="57" t="s">
        <v>472</v>
      </c>
      <c r="B5" s="52"/>
      <c r="C5" s="52"/>
      <c r="D5" s="52"/>
      <c r="E5" s="52"/>
      <c r="F5" s="53"/>
    </row>
    <row r="7" spans="1:6">
      <c r="A7" s="12" t="s">
        <v>424</v>
      </c>
      <c r="B7" s="13" t="s">
        <v>52</v>
      </c>
      <c r="C7" s="12" t="s">
        <v>426</v>
      </c>
      <c r="D7" s="12" t="s">
        <v>425</v>
      </c>
      <c r="E7" s="12" t="s">
        <v>427</v>
      </c>
      <c r="F7" s="12" t="s">
        <v>428</v>
      </c>
    </row>
    <row r="8" spans="1:6">
      <c r="A8" s="14"/>
      <c r="B8" s="15"/>
      <c r="C8" s="16"/>
      <c r="D8" s="14"/>
      <c r="E8" s="17"/>
      <c r="F8" s="17"/>
    </row>
    <row r="9" spans="1:6">
      <c r="A9" s="18" t="s">
        <v>473</v>
      </c>
      <c r="B9" s="15" t="s">
        <v>474</v>
      </c>
      <c r="C9" s="16"/>
      <c r="D9" s="14"/>
      <c r="E9" s="17"/>
      <c r="F9" s="17"/>
    </row>
    <row r="10" spans="1:6">
      <c r="A10" s="14"/>
      <c r="B10" s="15"/>
      <c r="C10" s="16"/>
      <c r="D10" s="14"/>
      <c r="E10" s="17"/>
      <c r="F10" s="17"/>
    </row>
    <row r="11" spans="1:6" ht="43.2">
      <c r="A11" s="19" t="s">
        <v>475</v>
      </c>
      <c r="B11" s="15" t="s">
        <v>476</v>
      </c>
      <c r="C11" s="16" t="s">
        <v>477</v>
      </c>
      <c r="D11" s="14" t="s">
        <v>445</v>
      </c>
      <c r="E11" s="17"/>
      <c r="F11" s="17">
        <f>C11*E11</f>
        <v>0</v>
      </c>
    </row>
    <row r="12" spans="1:6">
      <c r="A12" s="14"/>
      <c r="B12" s="15"/>
      <c r="C12" s="16"/>
      <c r="D12" s="14"/>
      <c r="E12" s="17"/>
      <c r="F12" s="17"/>
    </row>
    <row r="13" spans="1:6" ht="43.2">
      <c r="A13" s="19" t="s">
        <v>478</v>
      </c>
      <c r="B13" s="15" t="s">
        <v>479</v>
      </c>
      <c r="C13" s="16" t="s">
        <v>480</v>
      </c>
      <c r="D13" s="14" t="s">
        <v>445</v>
      </c>
      <c r="E13" s="17"/>
      <c r="F13" s="17">
        <f>C13*E13</f>
        <v>0</v>
      </c>
    </row>
    <row r="14" spans="1:6">
      <c r="A14" s="14"/>
      <c r="B14" s="15"/>
      <c r="C14" s="16"/>
      <c r="D14" s="14"/>
      <c r="E14" s="17"/>
      <c r="F14" s="17"/>
    </row>
    <row r="15" spans="1:6" ht="43.2">
      <c r="A15" s="19" t="s">
        <v>481</v>
      </c>
      <c r="B15" s="15" t="s">
        <v>482</v>
      </c>
      <c r="C15" s="16" t="s">
        <v>483</v>
      </c>
      <c r="D15" s="14" t="s">
        <v>445</v>
      </c>
      <c r="E15" s="17"/>
      <c r="F15" s="17">
        <f>C15*E15</f>
        <v>0</v>
      </c>
    </row>
    <row r="16" spans="1:6">
      <c r="A16" s="14"/>
      <c r="B16" s="15"/>
      <c r="C16" s="16"/>
      <c r="D16" s="14"/>
      <c r="E16" s="17"/>
      <c r="F16" s="17"/>
    </row>
    <row r="17" spans="1:6" ht="43.2">
      <c r="A17" s="19" t="s">
        <v>484</v>
      </c>
      <c r="B17" s="15" t="s">
        <v>485</v>
      </c>
      <c r="C17" s="16" t="s">
        <v>486</v>
      </c>
      <c r="D17" s="14" t="s">
        <v>445</v>
      </c>
      <c r="E17" s="17"/>
      <c r="F17" s="17">
        <f>C17*E17</f>
        <v>0</v>
      </c>
    </row>
    <row r="18" spans="1:6">
      <c r="A18" s="14"/>
      <c r="B18" s="15"/>
      <c r="C18" s="16"/>
      <c r="D18" s="14"/>
      <c r="E18" s="17"/>
      <c r="F18" s="17"/>
    </row>
    <row r="19" spans="1:6" ht="28.8">
      <c r="A19" s="19" t="s">
        <v>487</v>
      </c>
      <c r="B19" s="15" t="s">
        <v>488</v>
      </c>
      <c r="C19" s="16" t="s">
        <v>489</v>
      </c>
      <c r="D19" s="14" t="s">
        <v>490</v>
      </c>
      <c r="E19" s="17"/>
      <c r="F19" s="17">
        <f>C19*E19</f>
        <v>0</v>
      </c>
    </row>
    <row r="20" spans="1:6">
      <c r="A20" s="20"/>
      <c r="B20" s="20"/>
      <c r="C20" s="20"/>
      <c r="D20" s="20"/>
      <c r="E20" s="20"/>
      <c r="F20" s="20"/>
    </row>
    <row r="21" spans="1:6" ht="28.8">
      <c r="A21" s="19" t="s">
        <v>491</v>
      </c>
      <c r="B21" s="15" t="s">
        <v>492</v>
      </c>
      <c r="C21" s="17" t="s">
        <v>493</v>
      </c>
      <c r="D21" s="14" t="s">
        <v>445</v>
      </c>
      <c r="E21" s="17"/>
      <c r="F21" s="17">
        <f>C21*E21</f>
        <v>0</v>
      </c>
    </row>
    <row r="22" spans="1:6">
      <c r="A22" s="14"/>
      <c r="B22" s="15"/>
      <c r="C22" s="16"/>
      <c r="D22" s="14"/>
      <c r="E22" s="17"/>
      <c r="F22" s="17"/>
    </row>
    <row r="23" spans="1:6">
      <c r="A23" s="21"/>
      <c r="B23" s="22" t="s">
        <v>494</v>
      </c>
      <c r="C23" s="23">
        <f>SUM(C11,C13,C15,C17,C19,C21)</f>
        <v>0</v>
      </c>
      <c r="D23" s="21" t="s">
        <v>445</v>
      </c>
      <c r="E23" s="23"/>
      <c r="F23" s="23">
        <f>SUM(F11,F13,F15,F17,F19,F21)</f>
        <v>0</v>
      </c>
    </row>
    <row r="24" spans="1:6">
      <c r="A24" s="14"/>
      <c r="B24" s="15"/>
      <c r="C24" s="16"/>
      <c r="D24" s="14"/>
      <c r="E24" s="17"/>
      <c r="F24" s="17"/>
    </row>
    <row r="25" spans="1:6">
      <c r="A25" s="18" t="s">
        <v>495</v>
      </c>
      <c r="B25" s="15" t="s">
        <v>496</v>
      </c>
      <c r="C25" s="16"/>
      <c r="D25" s="14"/>
      <c r="E25" s="17"/>
      <c r="F25" s="17"/>
    </row>
    <row r="26" spans="1:6">
      <c r="A26" s="14"/>
      <c r="B26" s="15"/>
      <c r="C26" s="16"/>
      <c r="D26" s="14"/>
      <c r="E26" s="17"/>
      <c r="F26" s="17"/>
    </row>
    <row r="27" spans="1:6" ht="28.8">
      <c r="A27" s="19" t="s">
        <v>497</v>
      </c>
      <c r="B27" s="15" t="s">
        <v>498</v>
      </c>
      <c r="C27" s="16" t="s">
        <v>499</v>
      </c>
      <c r="D27" s="14" t="s">
        <v>463</v>
      </c>
      <c r="E27" s="20"/>
      <c r="F27" s="17">
        <f>C27*E27</f>
        <v>0</v>
      </c>
    </row>
    <row r="28" spans="1:6">
      <c r="A28" s="20"/>
      <c r="B28" s="20"/>
      <c r="C28" s="20"/>
      <c r="D28" s="20"/>
      <c r="E28" s="20"/>
      <c r="F28" s="20"/>
    </row>
    <row r="29" spans="1:6" ht="28.8">
      <c r="A29" s="19" t="s">
        <v>500</v>
      </c>
      <c r="B29" s="15" t="s">
        <v>501</v>
      </c>
      <c r="C29" s="17" t="s">
        <v>502</v>
      </c>
      <c r="D29" s="14" t="s">
        <v>503</v>
      </c>
      <c r="E29" s="20"/>
      <c r="F29" s="17">
        <f>C29*E29</f>
        <v>0</v>
      </c>
    </row>
    <row r="30" spans="1:6">
      <c r="A30" s="20"/>
      <c r="B30" s="20"/>
      <c r="C30" s="20"/>
      <c r="D30" s="20"/>
      <c r="E30" s="20"/>
      <c r="F30" s="20"/>
    </row>
    <row r="31" spans="1:6" ht="28.8">
      <c r="A31" s="19" t="s">
        <v>504</v>
      </c>
      <c r="B31" s="15" t="s">
        <v>505</v>
      </c>
      <c r="C31" s="16" t="s">
        <v>506</v>
      </c>
      <c r="D31" s="14" t="s">
        <v>463</v>
      </c>
      <c r="E31" s="20"/>
      <c r="F31" s="17">
        <f>C31*E31</f>
        <v>0</v>
      </c>
    </row>
    <row r="32" spans="1:6">
      <c r="A32" s="20"/>
      <c r="B32" s="20"/>
      <c r="C32" s="20"/>
      <c r="D32" s="20"/>
      <c r="E32" s="20"/>
      <c r="F32" s="20"/>
    </row>
    <row r="33" spans="1:6" ht="28.8">
      <c r="A33" s="19" t="s">
        <v>504</v>
      </c>
      <c r="B33" s="15" t="s">
        <v>507</v>
      </c>
      <c r="C33" s="16" t="s">
        <v>506</v>
      </c>
      <c r="D33" s="14" t="s">
        <v>463</v>
      </c>
      <c r="E33" s="20"/>
      <c r="F33" s="17">
        <f>C35*E35</f>
        <v>0</v>
      </c>
    </row>
    <row r="34" spans="1:6">
      <c r="A34" s="20"/>
      <c r="B34" s="20"/>
      <c r="C34" s="20"/>
      <c r="D34" s="20"/>
      <c r="E34" s="20"/>
      <c r="F34" s="20"/>
    </row>
    <row r="35" spans="1:6" ht="28.8">
      <c r="A35" s="19" t="s">
        <v>508</v>
      </c>
      <c r="B35" s="15" t="s">
        <v>509</v>
      </c>
      <c r="C35" s="16" t="s">
        <v>510</v>
      </c>
      <c r="D35" s="14" t="s">
        <v>463</v>
      </c>
      <c r="E35" s="20"/>
      <c r="F35" s="17">
        <f>C37*E37</f>
        <v>0</v>
      </c>
    </row>
    <row r="36" spans="1:6">
      <c r="A36" s="20"/>
      <c r="B36" s="20"/>
      <c r="C36" s="20"/>
      <c r="D36" s="20"/>
      <c r="E36" s="20"/>
      <c r="F36" s="20"/>
    </row>
    <row r="37" spans="1:6" ht="28.8">
      <c r="A37" s="19" t="s">
        <v>511</v>
      </c>
      <c r="B37" s="15" t="s">
        <v>512</v>
      </c>
      <c r="C37" s="17" t="s">
        <v>513</v>
      </c>
      <c r="D37" s="14" t="s">
        <v>503</v>
      </c>
      <c r="E37" s="20"/>
      <c r="F37" s="17">
        <f>C39*E39</f>
        <v>0</v>
      </c>
    </row>
    <row r="38" spans="1:6">
      <c r="A38" s="21"/>
      <c r="B38" s="22" t="s">
        <v>514</v>
      </c>
      <c r="C38" s="23">
        <f>C25+C27</f>
        <v>6</v>
      </c>
      <c r="D38" s="21" t="s">
        <v>463</v>
      </c>
      <c r="E38" s="23"/>
      <c r="F38" s="23" t="str">
        <f ca="1">SUM(F27:F39)</f>
        <v/>
      </c>
    </row>
    <row r="39" spans="1:6">
      <c r="A39" s="14"/>
      <c r="B39" s="15"/>
      <c r="C39" s="16"/>
      <c r="D39" s="14"/>
      <c r="E39" s="17"/>
      <c r="F39" s="17"/>
    </row>
    <row r="40" spans="1:6">
      <c r="A40" s="18" t="s">
        <v>515</v>
      </c>
      <c r="B40" s="15" t="s">
        <v>516</v>
      </c>
      <c r="C40" s="16"/>
      <c r="D40" s="14"/>
      <c r="E40" s="17"/>
      <c r="F40" s="17"/>
    </row>
    <row r="41" spans="1:6">
      <c r="A41" s="14"/>
      <c r="B41" s="15"/>
      <c r="C41" s="16"/>
      <c r="D41" s="14"/>
      <c r="E41" s="17"/>
      <c r="F41" s="17"/>
    </row>
    <row r="42" spans="1:6" ht="28.8">
      <c r="A42" s="19" t="s">
        <v>517</v>
      </c>
      <c r="B42" s="15" t="s">
        <v>518</v>
      </c>
      <c r="C42" s="16" t="s">
        <v>519</v>
      </c>
      <c r="D42" s="14" t="s">
        <v>503</v>
      </c>
      <c r="E42" s="17"/>
      <c r="F42" s="17">
        <f>C33*E33</f>
        <v>0</v>
      </c>
    </row>
    <row r="43" spans="1:6">
      <c r="A43" s="14"/>
      <c r="B43" s="15"/>
      <c r="C43" s="16"/>
      <c r="D43" s="14"/>
      <c r="E43" s="17"/>
      <c r="F43" s="17"/>
    </row>
    <row r="44" spans="1:6" ht="28.8">
      <c r="A44" s="19" t="s">
        <v>520</v>
      </c>
      <c r="B44" s="15" t="s">
        <v>521</v>
      </c>
      <c r="C44" s="16" t="s">
        <v>522</v>
      </c>
      <c r="D44" s="14" t="s">
        <v>463</v>
      </c>
      <c r="E44" s="17"/>
      <c r="F44" s="17">
        <f>C35*E35</f>
        <v>0</v>
      </c>
    </row>
    <row r="45" spans="1:6">
      <c r="A45" s="14"/>
      <c r="B45" s="15"/>
      <c r="C45" s="16"/>
      <c r="D45" s="14"/>
      <c r="E45" s="17"/>
      <c r="F45" s="17"/>
    </row>
    <row r="46" spans="1:6" ht="28.8">
      <c r="A46" s="19" t="s">
        <v>523</v>
      </c>
      <c r="B46" s="15" t="s">
        <v>524</v>
      </c>
      <c r="C46" s="16" t="s">
        <v>522</v>
      </c>
      <c r="D46" s="14" t="s">
        <v>463</v>
      </c>
      <c r="E46" s="17"/>
      <c r="F46" s="17">
        <f>C37*E37</f>
        <v>0</v>
      </c>
    </row>
    <row r="47" spans="1:6">
      <c r="A47" s="14"/>
      <c r="B47" s="15"/>
      <c r="C47" s="16"/>
      <c r="D47" s="14"/>
      <c r="E47" s="17"/>
      <c r="F47" s="17"/>
    </row>
    <row r="48" spans="1:6" ht="57.6">
      <c r="A48" s="19" t="s">
        <v>525</v>
      </c>
      <c r="B48" s="15" t="s">
        <v>526</v>
      </c>
      <c r="C48" s="16" t="s">
        <v>527</v>
      </c>
      <c r="D48" s="14" t="s">
        <v>503</v>
      </c>
      <c r="E48" s="17"/>
      <c r="F48" s="17">
        <f>C39*E39</f>
        <v>0</v>
      </c>
    </row>
    <row r="49" spans="1:6">
      <c r="A49" s="14"/>
      <c r="B49" s="15"/>
      <c r="C49" s="16"/>
      <c r="D49" s="14"/>
      <c r="E49" s="17"/>
      <c r="F49" s="17"/>
    </row>
    <row r="50" spans="1:6">
      <c r="A50" s="21"/>
      <c r="B50" s="22" t="s">
        <v>528</v>
      </c>
      <c r="C50" s="24"/>
      <c r="D50" s="21"/>
      <c r="E50" s="23"/>
      <c r="F50" s="23">
        <f>SUM(F33,F35,F37,F39)</f>
        <v>0</v>
      </c>
    </row>
    <row r="51" spans="1:6">
      <c r="A51" s="14"/>
      <c r="B51" s="15"/>
      <c r="C51" s="16"/>
      <c r="D51" s="14"/>
      <c r="E51" s="17"/>
      <c r="F51" s="17"/>
    </row>
    <row r="52" spans="1:6">
      <c r="A52" s="18" t="s">
        <v>529</v>
      </c>
      <c r="B52" s="15" t="s">
        <v>530</v>
      </c>
      <c r="C52" s="16"/>
      <c r="D52" s="14"/>
      <c r="E52" s="17"/>
      <c r="F52" s="17"/>
    </row>
    <row r="53" spans="1:6">
      <c r="A53" s="14"/>
      <c r="B53" s="15"/>
      <c r="C53" s="16"/>
      <c r="D53" s="14"/>
      <c r="E53" s="17"/>
      <c r="F53" s="17"/>
    </row>
    <row r="54" spans="1:6" ht="28.8">
      <c r="A54" s="19" t="s">
        <v>531</v>
      </c>
      <c r="B54" s="15" t="s">
        <v>532</v>
      </c>
      <c r="C54" s="16" t="s">
        <v>533</v>
      </c>
      <c r="D54" s="14" t="s">
        <v>463</v>
      </c>
      <c r="E54" s="17"/>
      <c r="F54" s="17">
        <f>C45*E45</f>
        <v>0</v>
      </c>
    </row>
    <row r="55" spans="1:6">
      <c r="A55" s="14"/>
      <c r="B55" s="15"/>
      <c r="C55" s="16"/>
      <c r="D55" s="14"/>
      <c r="E55" s="17"/>
      <c r="F55" s="17"/>
    </row>
    <row r="56" spans="1:6" ht="28.8">
      <c r="A56" s="19" t="s">
        <v>534</v>
      </c>
      <c r="B56" s="15" t="s">
        <v>535</v>
      </c>
      <c r="C56" s="16" t="s">
        <v>536</v>
      </c>
      <c r="D56" s="14" t="s">
        <v>463</v>
      </c>
      <c r="E56" s="17"/>
      <c r="F56" s="17">
        <f>C47*E47</f>
        <v>0</v>
      </c>
    </row>
    <row r="57" spans="1:6">
      <c r="A57" s="14"/>
      <c r="B57" s="15"/>
      <c r="C57" s="16"/>
      <c r="D57" s="14"/>
      <c r="E57" s="17"/>
      <c r="F57" s="17"/>
    </row>
    <row r="58" spans="1:6" ht="28.8">
      <c r="A58" s="19" t="s">
        <v>537</v>
      </c>
      <c r="B58" s="15" t="s">
        <v>538</v>
      </c>
      <c r="C58" s="16" t="s">
        <v>522</v>
      </c>
      <c r="D58" s="14" t="s">
        <v>463</v>
      </c>
      <c r="E58" s="17"/>
      <c r="F58" s="17">
        <f>C49*E49</f>
        <v>0</v>
      </c>
    </row>
    <row r="59" spans="1:6">
      <c r="A59" s="14"/>
      <c r="B59" s="15"/>
      <c r="C59" s="16"/>
      <c r="D59" s="14"/>
      <c r="E59" s="17"/>
      <c r="F59" s="17"/>
    </row>
    <row r="60" spans="1:6">
      <c r="A60" s="19" t="s">
        <v>539</v>
      </c>
      <c r="B60" s="15" t="s">
        <v>540</v>
      </c>
      <c r="C60" s="16" t="s">
        <v>522</v>
      </c>
      <c r="D60" s="14" t="s">
        <v>463</v>
      </c>
      <c r="E60" s="17"/>
      <c r="F60" s="17">
        <f>C51*E51</f>
        <v>0</v>
      </c>
    </row>
    <row r="61" spans="1:6">
      <c r="A61" s="14"/>
      <c r="B61" s="15"/>
      <c r="C61" s="16"/>
      <c r="D61" s="14"/>
      <c r="E61" s="17"/>
      <c r="F61" s="17"/>
    </row>
    <row r="62" spans="1:6">
      <c r="A62" s="21"/>
      <c r="B62" s="22" t="s">
        <v>541</v>
      </c>
      <c r="C62" s="23">
        <f>C45+C47+C49+C51</f>
        <v>0</v>
      </c>
      <c r="D62" s="21" t="s">
        <v>463</v>
      </c>
      <c r="E62" s="23"/>
      <c r="F62" s="23">
        <f>SUM(F45,F47,F49,F51)</f>
        <v>0</v>
      </c>
    </row>
    <row r="63" spans="1:6">
      <c r="A63" s="14"/>
      <c r="B63" s="15"/>
      <c r="C63" s="16"/>
      <c r="D63" s="14"/>
      <c r="E63" s="17"/>
      <c r="F63" s="17"/>
    </row>
    <row r="64" spans="1:6">
      <c r="A64" s="18" t="s">
        <v>542</v>
      </c>
      <c r="B64" s="15" t="s">
        <v>543</v>
      </c>
      <c r="C64" s="16"/>
      <c r="D64" s="14"/>
      <c r="E64" s="17"/>
      <c r="F64" s="17"/>
    </row>
    <row r="65" spans="1:6">
      <c r="A65" s="14"/>
      <c r="B65" s="15"/>
      <c r="C65" s="16"/>
      <c r="D65" s="14"/>
      <c r="E65" s="17"/>
      <c r="F65" s="17"/>
    </row>
    <row r="66" spans="1:6" ht="28.8">
      <c r="A66" s="19" t="s">
        <v>544</v>
      </c>
      <c r="B66" s="15" t="s">
        <v>545</v>
      </c>
      <c r="C66" s="16" t="s">
        <v>546</v>
      </c>
      <c r="D66" s="14" t="s">
        <v>445</v>
      </c>
      <c r="E66" s="17"/>
      <c r="F66" s="17">
        <f>C57*E57</f>
        <v>0</v>
      </c>
    </row>
    <row r="67" spans="1:6">
      <c r="A67" s="14"/>
      <c r="B67" s="15"/>
      <c r="C67" s="16"/>
      <c r="D67" s="14"/>
      <c r="E67" s="17"/>
      <c r="F67" s="17"/>
    </row>
    <row r="68" spans="1:6" ht="28.8">
      <c r="A68" s="19" t="s">
        <v>547</v>
      </c>
      <c r="B68" s="15" t="s">
        <v>548</v>
      </c>
      <c r="C68" s="16" t="s">
        <v>549</v>
      </c>
      <c r="D68" s="14" t="s">
        <v>445</v>
      </c>
      <c r="E68" s="17"/>
      <c r="F68" s="17">
        <f>C59*E59</f>
        <v>0</v>
      </c>
    </row>
    <row r="69" spans="1:6">
      <c r="A69" s="14"/>
      <c r="B69" s="15"/>
      <c r="C69" s="16"/>
      <c r="D69" s="14"/>
      <c r="E69" s="17"/>
      <c r="F69" s="17"/>
    </row>
    <row r="70" spans="1:6">
      <c r="A70" s="21"/>
      <c r="B70" s="22" t="s">
        <v>550</v>
      </c>
      <c r="C70" s="23">
        <f>C57+C59</f>
        <v>0</v>
      </c>
      <c r="D70" s="21" t="s">
        <v>445</v>
      </c>
      <c r="E70" s="23"/>
      <c r="F70" s="23">
        <f>SUM(F57,F59)</f>
        <v>0</v>
      </c>
    </row>
    <row r="71" spans="1:6">
      <c r="A71" s="14"/>
      <c r="B71" s="15"/>
      <c r="C71" s="16"/>
      <c r="D71" s="14"/>
      <c r="E71" s="17"/>
      <c r="F71" s="17"/>
    </row>
    <row r="72" spans="1:6">
      <c r="A72" s="18" t="s">
        <v>551</v>
      </c>
      <c r="B72" s="15" t="s">
        <v>552</v>
      </c>
      <c r="C72" s="16"/>
      <c r="D72" s="14"/>
      <c r="E72" s="17"/>
      <c r="F72" s="17"/>
    </row>
    <row r="73" spans="1:6">
      <c r="A73" s="14"/>
      <c r="B73" s="15"/>
      <c r="C73" s="16"/>
      <c r="D73" s="14"/>
      <c r="E73" s="17"/>
      <c r="F73" s="17"/>
    </row>
    <row r="74" spans="1:6" ht="28.8">
      <c r="A74" s="19" t="s">
        <v>553</v>
      </c>
      <c r="B74" s="15" t="s">
        <v>554</v>
      </c>
      <c r="C74" s="16" t="s">
        <v>555</v>
      </c>
      <c r="D74" s="14" t="s">
        <v>445</v>
      </c>
      <c r="E74" s="17"/>
      <c r="F74" s="17">
        <f>C65*E65</f>
        <v>0</v>
      </c>
    </row>
    <row r="75" spans="1:6">
      <c r="A75" s="14"/>
      <c r="B75" s="15"/>
      <c r="C75" s="16"/>
      <c r="D75" s="14"/>
      <c r="E75" s="17"/>
      <c r="F75" s="17"/>
    </row>
    <row r="76" spans="1:6" ht="43.2">
      <c r="A76" s="19" t="s">
        <v>556</v>
      </c>
      <c r="B76" s="15" t="s">
        <v>557</v>
      </c>
      <c r="C76" s="16" t="s">
        <v>510</v>
      </c>
      <c r="D76" s="14" t="s">
        <v>445</v>
      </c>
      <c r="E76" s="17"/>
      <c r="F76" s="17">
        <f>C67*E67</f>
        <v>0</v>
      </c>
    </row>
    <row r="77" spans="1:6">
      <c r="A77" s="14"/>
      <c r="B77" s="15"/>
      <c r="C77" s="16"/>
      <c r="D77" s="14"/>
      <c r="E77" s="17"/>
      <c r="F77" s="17"/>
    </row>
    <row r="78" spans="1:6" ht="28.8">
      <c r="A78" s="19" t="s">
        <v>558</v>
      </c>
      <c r="B78" s="15" t="s">
        <v>559</v>
      </c>
      <c r="C78" s="16" t="s">
        <v>522</v>
      </c>
      <c r="D78" s="14" t="s">
        <v>424</v>
      </c>
      <c r="E78" s="17"/>
      <c r="F78" s="17">
        <f>C69*E69</f>
        <v>0</v>
      </c>
    </row>
    <row r="79" spans="1:6">
      <c r="A79" s="14"/>
      <c r="B79" s="15"/>
      <c r="C79" s="16"/>
      <c r="D79" s="14"/>
      <c r="E79" s="17"/>
      <c r="F79" s="17"/>
    </row>
    <row r="80" spans="1:6" ht="28.8">
      <c r="A80" s="19" t="s">
        <v>560</v>
      </c>
      <c r="B80" s="15" t="s">
        <v>561</v>
      </c>
      <c r="C80" s="16" t="s">
        <v>522</v>
      </c>
      <c r="D80" s="14" t="s">
        <v>424</v>
      </c>
      <c r="E80" s="17"/>
      <c r="F80" s="17">
        <f>C71*E71</f>
        <v>0</v>
      </c>
    </row>
    <row r="81" spans="1:6">
      <c r="A81" s="14"/>
      <c r="B81" s="15"/>
      <c r="C81" s="16"/>
      <c r="D81" s="14"/>
      <c r="E81" s="17"/>
      <c r="F81" s="17"/>
    </row>
    <row r="82" spans="1:6">
      <c r="A82" s="21"/>
      <c r="B82" s="22" t="s">
        <v>562</v>
      </c>
      <c r="C82" s="24"/>
      <c r="D82" s="21"/>
      <c r="E82" s="23"/>
      <c r="F82" s="23">
        <f>SUM(F65,F67,F69,F71)</f>
        <v>0</v>
      </c>
    </row>
    <row r="83" spans="1:6">
      <c r="A83" s="14"/>
      <c r="B83" s="15"/>
      <c r="C83" s="16"/>
      <c r="D83" s="14"/>
      <c r="E83" s="17"/>
      <c r="F83" s="17"/>
    </row>
    <row r="84" spans="1:6">
      <c r="A84" s="18" t="s">
        <v>563</v>
      </c>
      <c r="B84" s="15" t="s">
        <v>564</v>
      </c>
      <c r="C84" s="16"/>
      <c r="D84" s="14"/>
      <c r="E84" s="17"/>
      <c r="F84" s="17"/>
    </row>
    <row r="85" spans="1:6">
      <c r="A85" s="14"/>
      <c r="B85" s="15"/>
      <c r="C85" s="16"/>
      <c r="D85" s="14"/>
      <c r="E85" s="17"/>
      <c r="F85" s="17"/>
    </row>
    <row r="86" spans="1:6" ht="43.2">
      <c r="A86" s="19" t="s">
        <v>565</v>
      </c>
      <c r="B86" s="15" t="s">
        <v>566</v>
      </c>
      <c r="C86" s="16" t="s">
        <v>567</v>
      </c>
      <c r="D86" s="14" t="s">
        <v>445</v>
      </c>
      <c r="E86" s="17"/>
      <c r="F86" s="17">
        <f>C77*E77</f>
        <v>0</v>
      </c>
    </row>
    <row r="87" spans="1:6">
      <c r="A87" s="14"/>
      <c r="B87" s="15"/>
      <c r="C87" s="16"/>
      <c r="D87" s="14"/>
      <c r="E87" s="17"/>
      <c r="F87" s="17"/>
    </row>
    <row r="88" spans="1:6" ht="57.6">
      <c r="A88" s="19" t="s">
        <v>568</v>
      </c>
      <c r="B88" s="15" t="s">
        <v>569</v>
      </c>
      <c r="C88" s="16" t="s">
        <v>570</v>
      </c>
      <c r="D88" s="14" t="s">
        <v>445</v>
      </c>
      <c r="E88" s="17"/>
      <c r="F88" s="17">
        <f>C79*E79</f>
        <v>0</v>
      </c>
    </row>
    <row r="89" spans="1:6">
      <c r="A89" s="14"/>
      <c r="B89" s="15"/>
      <c r="C89" s="16"/>
      <c r="D89" s="14"/>
      <c r="E89" s="17"/>
      <c r="F89" s="17"/>
    </row>
    <row r="90" spans="1:6" ht="43.2">
      <c r="A90" s="19" t="s">
        <v>571</v>
      </c>
      <c r="B90" s="15" t="s">
        <v>572</v>
      </c>
      <c r="C90" s="16" t="s">
        <v>573</v>
      </c>
      <c r="D90" s="14" t="s">
        <v>445</v>
      </c>
      <c r="E90" s="17"/>
      <c r="F90" s="17">
        <f>C81*E81</f>
        <v>0</v>
      </c>
    </row>
    <row r="91" spans="1:6">
      <c r="A91" s="14"/>
      <c r="B91" s="15"/>
      <c r="C91" s="16"/>
      <c r="D91" s="14"/>
      <c r="E91" s="17"/>
      <c r="F91" s="17"/>
    </row>
    <row r="92" spans="1:6">
      <c r="A92" s="21"/>
      <c r="B92" s="22" t="s">
        <v>574</v>
      </c>
      <c r="C92" s="23">
        <f>C77+C79+C81</f>
        <v>0</v>
      </c>
      <c r="D92" s="21" t="s">
        <v>445</v>
      </c>
      <c r="E92" s="23"/>
      <c r="F92" s="23">
        <f>SUM(F77,F79,F81)</f>
        <v>0</v>
      </c>
    </row>
    <row r="93" spans="1:6">
      <c r="A93" s="14"/>
      <c r="B93" s="15"/>
      <c r="C93" s="16"/>
      <c r="D93" s="14"/>
      <c r="E93" s="17"/>
      <c r="F93" s="17"/>
    </row>
    <row r="94" spans="1:6">
      <c r="A94" s="18" t="s">
        <v>575</v>
      </c>
      <c r="B94" s="15" t="s">
        <v>576</v>
      </c>
      <c r="C94" s="16"/>
      <c r="D94" s="14"/>
      <c r="E94" s="17"/>
      <c r="F94" s="17"/>
    </row>
    <row r="95" spans="1:6">
      <c r="A95" s="14"/>
      <c r="B95" s="15"/>
      <c r="C95" s="16"/>
      <c r="D95" s="14"/>
      <c r="E95" s="17"/>
      <c r="F95" s="17"/>
    </row>
    <row r="96" spans="1:6" ht="43.2">
      <c r="A96" s="19" t="s">
        <v>577</v>
      </c>
      <c r="B96" s="15" t="s">
        <v>578</v>
      </c>
      <c r="C96" s="16" t="s">
        <v>522</v>
      </c>
      <c r="D96" s="14" t="s">
        <v>424</v>
      </c>
      <c r="E96" s="17"/>
      <c r="F96" s="17">
        <f>C87*E87</f>
        <v>0</v>
      </c>
    </row>
    <row r="97" spans="1:6">
      <c r="A97" s="14"/>
      <c r="B97" s="15"/>
      <c r="C97" s="16"/>
      <c r="D97" s="14"/>
      <c r="E97" s="17"/>
      <c r="F97" s="17"/>
    </row>
    <row r="98" spans="1:6">
      <c r="A98" s="19" t="s">
        <v>579</v>
      </c>
      <c r="B98" s="25"/>
      <c r="C98" s="25"/>
      <c r="D98" s="25"/>
      <c r="E98" s="25"/>
      <c r="F98" s="26"/>
    </row>
    <row r="99" spans="1:6">
      <c r="A99" s="14"/>
      <c r="B99" s="25"/>
      <c r="C99" s="25"/>
      <c r="D99" s="25"/>
      <c r="E99" s="25"/>
      <c r="F99" s="26"/>
    </row>
    <row r="100" spans="1:6">
      <c r="A100" s="59" t="s">
        <v>580</v>
      </c>
      <c r="B100" s="52"/>
      <c r="C100" s="52"/>
      <c r="D100" s="52"/>
      <c r="E100" s="52"/>
      <c r="F100" s="53"/>
    </row>
    <row r="101" spans="1:6">
      <c r="A101" s="55"/>
      <c r="B101" s="52"/>
      <c r="C101" s="52"/>
      <c r="D101" s="52"/>
      <c r="E101" s="52"/>
      <c r="F101" s="53"/>
    </row>
    <row r="102" spans="1:6">
      <c r="A102" s="54"/>
      <c r="B102" s="52"/>
      <c r="C102" s="52"/>
      <c r="D102" s="52"/>
      <c r="E102" s="52"/>
      <c r="F102" s="53"/>
    </row>
    <row r="103" spans="1:6">
      <c r="A103" s="55"/>
      <c r="B103" s="52"/>
      <c r="C103" s="52"/>
      <c r="D103" s="52"/>
      <c r="E103" s="52"/>
      <c r="F103" s="53"/>
    </row>
    <row r="104" spans="1:6">
      <c r="A104" s="55"/>
      <c r="B104" s="52"/>
      <c r="C104" s="52"/>
      <c r="D104" s="52"/>
      <c r="E104" s="52"/>
      <c r="F104" s="53"/>
    </row>
    <row r="105" spans="1:6">
      <c r="A105" s="54"/>
      <c r="B105" s="52"/>
      <c r="C105" s="52"/>
      <c r="D105" s="52"/>
      <c r="E105" s="52"/>
      <c r="F105" s="53"/>
    </row>
    <row r="106" spans="1:6">
      <c r="A106" s="58"/>
      <c r="B106" s="58"/>
      <c r="C106" s="58"/>
      <c r="D106" s="58"/>
      <c r="E106" s="58"/>
      <c r="F106" s="58"/>
    </row>
    <row r="108" spans="1:6">
      <c r="A108" s="27" t="s">
        <v>581</v>
      </c>
      <c r="B108" s="25"/>
      <c r="C108" s="25"/>
      <c r="D108" s="25"/>
      <c r="E108" s="25"/>
      <c r="F108" s="26"/>
    </row>
    <row r="109" spans="1:6" ht="230.4">
      <c r="A109" s="15" t="s">
        <v>582</v>
      </c>
      <c r="B109" s="25"/>
      <c r="C109" s="25"/>
      <c r="D109" s="25"/>
      <c r="E109" s="25"/>
      <c r="F109" s="26"/>
    </row>
    <row r="110" spans="1:6">
      <c r="A110" s="15" t="s">
        <v>583</v>
      </c>
      <c r="B110" s="25"/>
      <c r="C110" s="25"/>
      <c r="D110" s="25"/>
      <c r="E110" s="25"/>
      <c r="F110" s="26"/>
    </row>
    <row r="111" spans="1:6" ht="172.8">
      <c r="A111" s="15" t="s">
        <v>584</v>
      </c>
      <c r="B111" s="25"/>
      <c r="C111" s="25"/>
      <c r="D111" s="25"/>
      <c r="E111" s="25"/>
      <c r="F111" s="26"/>
    </row>
    <row r="112" spans="1:6" ht="172.8">
      <c r="A112" s="15" t="s">
        <v>585</v>
      </c>
      <c r="B112" s="25"/>
      <c r="C112" s="25"/>
      <c r="D112" s="25"/>
      <c r="E112" s="25"/>
      <c r="F112" s="26"/>
    </row>
    <row r="113" spans="1:6" ht="187.2">
      <c r="A113" s="15" t="s">
        <v>586</v>
      </c>
      <c r="B113" s="25"/>
      <c r="C113" s="25"/>
      <c r="D113" s="25"/>
      <c r="E113" s="25"/>
      <c r="F113" s="26"/>
    </row>
    <row r="114" spans="1:6" ht="187.2">
      <c r="A114" s="15" t="s">
        <v>587</v>
      </c>
    </row>
    <row r="115" spans="1:6" ht="158.4">
      <c r="A115" s="15" t="s">
        <v>588</v>
      </c>
    </row>
  </sheetData>
  <mergeCells count="11">
    <mergeCell ref="A106:F106"/>
    <mergeCell ref="A105:F105"/>
    <mergeCell ref="A100:F100"/>
    <mergeCell ref="A101:F101"/>
    <mergeCell ref="A104:F104"/>
    <mergeCell ref="A2:F2"/>
    <mergeCell ref="A3:F3"/>
    <mergeCell ref="A102:F102"/>
    <mergeCell ref="A103:F103"/>
    <mergeCell ref="A1:F1"/>
    <mergeCell ref="A5:F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9"/>
  <sheetViews>
    <sheetView workbookViewId="0"/>
  </sheetViews>
  <sheetFormatPr defaultRowHeight="14.4"/>
  <cols>
    <col min="1" max="1" width="8" customWidth="1"/>
    <col min="2" max="2" width="75" customWidth="1"/>
    <col min="3" max="3" width="8" customWidth="1"/>
    <col min="4" max="5" width="12" customWidth="1"/>
    <col min="6" max="6" width="14" customWidth="1"/>
  </cols>
  <sheetData>
    <row r="1" spans="1:6">
      <c r="A1" s="28" t="s">
        <v>589</v>
      </c>
      <c r="B1" s="28" t="s">
        <v>590</v>
      </c>
      <c r="C1" s="28" t="s">
        <v>591</v>
      </c>
      <c r="D1" s="28" t="s">
        <v>592</v>
      </c>
      <c r="E1" s="28" t="s">
        <v>593</v>
      </c>
      <c r="F1" s="28" t="s">
        <v>594</v>
      </c>
    </row>
    <row r="2" spans="1:6">
      <c r="A2" s="58"/>
      <c r="B2" s="58"/>
      <c r="C2" s="58"/>
      <c r="D2" s="58"/>
      <c r="E2" s="58"/>
      <c r="F2" s="58"/>
    </row>
    <row r="3" spans="1:6">
      <c r="A3" s="58"/>
      <c r="B3" s="58"/>
      <c r="C3" s="58"/>
      <c r="D3" s="58"/>
      <c r="E3" s="58"/>
      <c r="F3" s="58"/>
    </row>
    <row r="4" spans="1:6">
      <c r="A4" s="5"/>
      <c r="B4" s="5"/>
      <c r="C4" s="5"/>
      <c r="D4" s="5"/>
      <c r="E4" s="5"/>
      <c r="F4" s="5"/>
    </row>
    <row r="5" spans="1:6">
      <c r="A5" s="61" t="s">
        <v>595</v>
      </c>
      <c r="B5" s="58"/>
      <c r="C5" s="58"/>
      <c r="D5" s="58"/>
      <c r="E5" s="58"/>
      <c r="F5" s="58"/>
    </row>
    <row r="6" spans="1:6">
      <c r="A6" s="61" t="s">
        <v>596</v>
      </c>
      <c r="B6" s="58"/>
      <c r="C6" s="58"/>
      <c r="D6" s="58"/>
      <c r="E6" s="58"/>
      <c r="F6" s="58"/>
    </row>
    <row r="7" spans="1:6">
      <c r="A7" s="5"/>
      <c r="B7" s="5"/>
      <c r="C7" s="5"/>
      <c r="D7" s="5"/>
      <c r="E7" s="5"/>
      <c r="F7" s="5"/>
    </row>
    <row r="8" spans="1:6">
      <c r="A8" s="58"/>
      <c r="B8" s="58"/>
      <c r="C8" s="58"/>
      <c r="D8" s="58"/>
      <c r="E8" s="58"/>
      <c r="F8" s="58"/>
    </row>
    <row r="9" spans="1:6">
      <c r="A9" s="5"/>
      <c r="B9" s="5"/>
      <c r="C9" s="5"/>
      <c r="D9" s="5"/>
      <c r="E9" s="5"/>
      <c r="F9" s="5"/>
    </row>
    <row r="10" spans="1:6">
      <c r="A10" s="60" t="s">
        <v>97</v>
      </c>
      <c r="B10" s="58"/>
      <c r="C10" s="58"/>
      <c r="D10" s="58"/>
      <c r="E10" s="58"/>
      <c r="F10" s="58"/>
    </row>
    <row r="11" spans="1:6">
      <c r="A11" s="58"/>
      <c r="B11" s="58"/>
      <c r="C11" s="58"/>
      <c r="D11" s="58"/>
      <c r="E11" s="58"/>
      <c r="F11" s="58"/>
    </row>
    <row r="12" spans="1:6">
      <c r="A12" s="58"/>
      <c r="B12" s="58"/>
      <c r="C12" s="58"/>
      <c r="D12" s="58"/>
      <c r="E12" s="58"/>
      <c r="F12" s="58"/>
    </row>
    <row r="13" spans="1:6">
      <c r="A13" s="5"/>
      <c r="B13" s="5"/>
      <c r="C13" s="5"/>
      <c r="D13" s="5"/>
      <c r="E13" s="5"/>
      <c r="F13" s="5"/>
    </row>
    <row r="14" spans="1:6">
      <c r="A14" s="58"/>
      <c r="B14" s="58"/>
      <c r="C14" s="58"/>
      <c r="D14" s="58"/>
      <c r="E14" s="58"/>
      <c r="F14" s="58"/>
    </row>
    <row r="15" spans="1:6">
      <c r="A15" s="58"/>
      <c r="B15" s="58"/>
      <c r="C15" s="58"/>
      <c r="D15" s="58"/>
      <c r="E15" s="58"/>
      <c r="F15" s="58"/>
    </row>
    <row r="16" spans="1:6">
      <c r="A16" s="5"/>
      <c r="B16" s="5"/>
      <c r="C16" s="5"/>
      <c r="D16" s="5"/>
      <c r="E16" s="5"/>
      <c r="F16" s="5"/>
    </row>
    <row r="17" spans="1:6">
      <c r="A17" s="58"/>
      <c r="B17" s="58"/>
      <c r="C17" s="58"/>
      <c r="D17" s="58"/>
      <c r="E17" s="58"/>
      <c r="F17" s="58"/>
    </row>
    <row r="18" spans="1:6">
      <c r="A18" s="58"/>
      <c r="B18" s="58"/>
      <c r="C18" s="58"/>
      <c r="D18" s="58"/>
      <c r="E18" s="58"/>
      <c r="F18" s="58"/>
    </row>
    <row r="19" spans="1:6">
      <c r="A19" s="5"/>
      <c r="B19" s="5"/>
      <c r="C19" s="5"/>
      <c r="D19" s="5"/>
      <c r="E19" s="5"/>
      <c r="F19" s="5"/>
    </row>
    <row r="20" spans="1:6">
      <c r="A20" s="58"/>
      <c r="B20" s="58"/>
      <c r="C20" s="58"/>
      <c r="D20" s="58"/>
      <c r="E20" s="58"/>
      <c r="F20" s="58"/>
    </row>
    <row r="21" spans="1:6">
      <c r="A21" s="58"/>
      <c r="B21" s="58"/>
      <c r="C21" s="58"/>
      <c r="D21" s="58"/>
      <c r="E21" s="58"/>
      <c r="F21" s="58"/>
    </row>
    <row r="22" spans="1:6">
      <c r="A22" s="5"/>
      <c r="B22" s="5"/>
      <c r="C22" s="5"/>
      <c r="D22" s="5"/>
      <c r="E22" s="5"/>
      <c r="F22" s="5"/>
    </row>
    <row r="23" spans="1:6">
      <c r="A23" s="58"/>
      <c r="B23" s="58"/>
      <c r="C23" s="58"/>
      <c r="D23" s="58"/>
      <c r="E23" s="58"/>
      <c r="F23" s="58"/>
    </row>
    <row r="24" spans="1:6">
      <c r="A24" s="58"/>
      <c r="B24" s="58"/>
      <c r="C24" s="58"/>
      <c r="D24" s="58"/>
      <c r="E24" s="58"/>
      <c r="F24" s="58"/>
    </row>
    <row r="25" spans="1:6">
      <c r="A25" s="5"/>
      <c r="B25" s="5"/>
      <c r="C25" s="5"/>
      <c r="D25" s="5"/>
      <c r="E25" s="5"/>
      <c r="F25" s="5"/>
    </row>
    <row r="26" spans="1:6">
      <c r="A26" s="58"/>
      <c r="B26" s="58"/>
      <c r="C26" s="58"/>
      <c r="D26" s="58"/>
      <c r="E26" s="58"/>
      <c r="F26" s="58"/>
    </row>
    <row r="27" spans="1:6">
      <c r="A27" s="58"/>
      <c r="B27" s="58"/>
      <c r="C27" s="58"/>
      <c r="D27" s="58"/>
      <c r="E27" s="58"/>
      <c r="F27" s="58"/>
    </row>
    <row r="28" spans="1:6">
      <c r="A28" s="5"/>
      <c r="B28" s="5"/>
      <c r="C28" s="5"/>
      <c r="D28" s="5"/>
      <c r="E28" s="5"/>
      <c r="F28" s="5"/>
    </row>
    <row r="29" spans="1:6">
      <c r="A29" s="61" t="s">
        <v>597</v>
      </c>
      <c r="B29" s="58"/>
      <c r="C29" s="58"/>
      <c r="D29" s="58"/>
      <c r="E29" s="58"/>
      <c r="F29" s="58"/>
    </row>
    <row r="30" spans="1:6">
      <c r="A30" s="5"/>
      <c r="B30" s="5"/>
      <c r="C30" s="5"/>
      <c r="D30" s="5"/>
      <c r="E30" s="5"/>
      <c r="F30" s="5"/>
    </row>
    <row r="31" spans="1:6">
      <c r="A31" s="60" t="s">
        <v>598</v>
      </c>
      <c r="B31" s="58"/>
      <c r="C31" s="58"/>
      <c r="D31" s="58"/>
      <c r="E31" s="58"/>
      <c r="F31" s="58"/>
    </row>
    <row r="32" spans="1:6" ht="28.8">
      <c r="A32" s="29" t="s">
        <v>475</v>
      </c>
      <c r="B32" s="30" t="s">
        <v>599</v>
      </c>
      <c r="C32" s="31" t="s">
        <v>445</v>
      </c>
      <c r="D32" s="32">
        <v>180</v>
      </c>
      <c r="E32" s="32"/>
      <c r="F32" s="32">
        <f>D32*E32</f>
        <v>0</v>
      </c>
    </row>
    <row r="33" spans="1:6">
      <c r="A33" s="5"/>
      <c r="B33" s="5"/>
      <c r="C33" s="5"/>
      <c r="D33" s="5"/>
      <c r="E33" s="5"/>
      <c r="F33" s="5"/>
    </row>
    <row r="34" spans="1:6">
      <c r="A34" s="60" t="s">
        <v>600</v>
      </c>
      <c r="B34" s="58"/>
      <c r="C34" s="58"/>
      <c r="D34" s="58"/>
      <c r="E34" s="58"/>
      <c r="F34" s="58"/>
    </row>
    <row r="35" spans="1:6" ht="43.2">
      <c r="A35" s="29" t="s">
        <v>478</v>
      </c>
      <c r="B35" s="30" t="s">
        <v>601</v>
      </c>
      <c r="C35" s="31" t="s">
        <v>490</v>
      </c>
      <c r="D35" s="32">
        <v>8.5</v>
      </c>
      <c r="E35" s="32"/>
      <c r="F35" s="32">
        <f>D35*E35</f>
        <v>0</v>
      </c>
    </row>
    <row r="36" spans="1:6">
      <c r="A36" s="5"/>
      <c r="B36" s="5"/>
      <c r="C36" s="5"/>
      <c r="D36" s="5"/>
      <c r="E36" s="5"/>
      <c r="F36" s="5"/>
    </row>
    <row r="37" spans="1:6" ht="43.2">
      <c r="A37" s="29" t="s">
        <v>481</v>
      </c>
      <c r="B37" s="30" t="s">
        <v>602</v>
      </c>
      <c r="C37" s="31" t="s">
        <v>490</v>
      </c>
      <c r="D37" s="32">
        <v>12</v>
      </c>
      <c r="E37" s="32"/>
      <c r="F37" s="32">
        <f>D37*E37</f>
        <v>0</v>
      </c>
    </row>
    <row r="38" spans="1:6">
      <c r="A38" s="5"/>
      <c r="B38" s="5"/>
      <c r="C38" s="5"/>
      <c r="D38" s="5"/>
      <c r="E38" s="5"/>
      <c r="F38" s="5"/>
    </row>
    <row r="39" spans="1:6" ht="28.8">
      <c r="A39" s="29" t="s">
        <v>484</v>
      </c>
      <c r="B39" s="30" t="s">
        <v>603</v>
      </c>
      <c r="C39" s="31" t="s">
        <v>490</v>
      </c>
      <c r="D39" s="32">
        <v>6.5</v>
      </c>
      <c r="E39" s="32"/>
      <c r="F39" s="32">
        <f>D39*E39</f>
        <v>0</v>
      </c>
    </row>
    <row r="40" spans="1:6">
      <c r="A40" s="5"/>
      <c r="B40" s="5"/>
      <c r="C40" s="5"/>
      <c r="D40" s="5"/>
      <c r="E40" s="5"/>
      <c r="F40" s="5"/>
    </row>
    <row r="41" spans="1:6" ht="28.8">
      <c r="A41" s="29" t="s">
        <v>487</v>
      </c>
      <c r="B41" s="30" t="s">
        <v>604</v>
      </c>
      <c r="C41" s="31" t="s">
        <v>490</v>
      </c>
      <c r="D41" s="32">
        <v>15</v>
      </c>
      <c r="E41" s="32"/>
      <c r="F41" s="32">
        <f>D41*E41</f>
        <v>0</v>
      </c>
    </row>
    <row r="42" spans="1:6">
      <c r="A42" s="5"/>
      <c r="B42" s="5"/>
      <c r="C42" s="5"/>
      <c r="D42" s="5"/>
      <c r="E42" s="5"/>
      <c r="F42" s="5"/>
    </row>
    <row r="43" spans="1:6">
      <c r="A43" s="60" t="s">
        <v>605</v>
      </c>
      <c r="B43" s="58"/>
      <c r="C43" s="58"/>
      <c r="D43" s="58"/>
      <c r="E43" s="58"/>
      <c r="F43" s="58"/>
    </row>
    <row r="44" spans="1:6" ht="28.8">
      <c r="A44" s="29" t="s">
        <v>491</v>
      </c>
      <c r="B44" s="30" t="s">
        <v>606</v>
      </c>
      <c r="C44" s="31" t="s">
        <v>490</v>
      </c>
      <c r="D44" s="32">
        <v>18</v>
      </c>
      <c r="E44" s="32"/>
      <c r="F44" s="32">
        <f>D44*E44</f>
        <v>0</v>
      </c>
    </row>
    <row r="45" spans="1:6">
      <c r="A45" s="5"/>
      <c r="B45" s="5"/>
      <c r="C45" s="5"/>
      <c r="D45" s="5"/>
      <c r="E45" s="5"/>
      <c r="F45" s="5"/>
    </row>
    <row r="46" spans="1:6">
      <c r="A46" s="29" t="s">
        <v>607</v>
      </c>
      <c r="B46" s="30" t="s">
        <v>608</v>
      </c>
      <c r="C46" s="31" t="s">
        <v>490</v>
      </c>
      <c r="D46" s="32">
        <v>7.5</v>
      </c>
      <c r="E46" s="32"/>
      <c r="F46" s="32">
        <f>D46*E46</f>
        <v>0</v>
      </c>
    </row>
    <row r="47" spans="1:6">
      <c r="A47" s="5"/>
      <c r="B47" s="5"/>
      <c r="C47" s="5"/>
      <c r="D47" s="5"/>
      <c r="E47" s="5"/>
      <c r="F47" s="5"/>
    </row>
    <row r="48" spans="1:6">
      <c r="A48" s="29" t="s">
        <v>609</v>
      </c>
      <c r="B48" s="30" t="s">
        <v>610</v>
      </c>
      <c r="C48" s="31" t="s">
        <v>445</v>
      </c>
      <c r="D48" s="32">
        <v>35</v>
      </c>
      <c r="E48" s="32"/>
      <c r="F48" s="32">
        <f>D48*E48</f>
        <v>0</v>
      </c>
    </row>
    <row r="49" spans="1:6">
      <c r="A49" s="5"/>
      <c r="B49" s="5"/>
      <c r="C49" s="5"/>
      <c r="D49" s="5"/>
      <c r="E49" s="5"/>
      <c r="F49" s="5"/>
    </row>
    <row r="50" spans="1:6">
      <c r="A50" s="5"/>
      <c r="B50" s="33" t="s">
        <v>611</v>
      </c>
      <c r="C50" s="5"/>
      <c r="D50" s="5"/>
      <c r="E50" s="5"/>
      <c r="F50" s="34">
        <f>SUBTOTAL(9,F30:F49)</f>
        <v>0</v>
      </c>
    </row>
    <row r="51" spans="1:6">
      <c r="A51" s="5"/>
      <c r="B51" s="5"/>
      <c r="C51" s="5"/>
      <c r="D51" s="5"/>
      <c r="E51" s="5"/>
      <c r="F51" s="5"/>
    </row>
    <row r="52" spans="1:6">
      <c r="A52" s="61" t="s">
        <v>612</v>
      </c>
      <c r="B52" s="58"/>
      <c r="C52" s="58"/>
      <c r="D52" s="58"/>
      <c r="E52" s="58"/>
      <c r="F52" s="58"/>
    </row>
    <row r="53" spans="1:6">
      <c r="A53" s="5"/>
      <c r="B53" s="5"/>
      <c r="C53" s="5"/>
      <c r="D53" s="5"/>
      <c r="E53" s="5"/>
      <c r="F53" s="5"/>
    </row>
    <row r="54" spans="1:6">
      <c r="A54" s="60" t="s">
        <v>613</v>
      </c>
      <c r="B54" s="58"/>
      <c r="C54" s="58"/>
      <c r="D54" s="58"/>
      <c r="E54" s="58"/>
      <c r="F54" s="58"/>
    </row>
    <row r="55" spans="1:6">
      <c r="A55" s="29" t="s">
        <v>497</v>
      </c>
      <c r="B55" s="30" t="s">
        <v>614</v>
      </c>
      <c r="C55" s="31" t="s">
        <v>490</v>
      </c>
      <c r="D55" s="32">
        <v>1.8</v>
      </c>
      <c r="E55" s="32"/>
      <c r="F55" s="32">
        <f>D55*E55</f>
        <v>0</v>
      </c>
    </row>
    <row r="56" spans="1:6">
      <c r="A56" s="5"/>
      <c r="B56" s="5"/>
      <c r="C56" s="5"/>
      <c r="D56" s="5"/>
      <c r="E56" s="5"/>
      <c r="F56" s="5"/>
    </row>
    <row r="57" spans="1:6" ht="28.8">
      <c r="A57" s="29" t="s">
        <v>500</v>
      </c>
      <c r="B57" s="30" t="s">
        <v>615</v>
      </c>
      <c r="C57" s="31" t="s">
        <v>490</v>
      </c>
      <c r="D57" s="32">
        <v>2.4</v>
      </c>
      <c r="E57" s="32"/>
      <c r="F57" s="32">
        <f>D57*E57</f>
        <v>0</v>
      </c>
    </row>
    <row r="58" spans="1:6">
      <c r="A58" s="5"/>
      <c r="B58" s="5"/>
      <c r="C58" s="5"/>
      <c r="D58" s="5"/>
      <c r="E58" s="5"/>
      <c r="F58" s="5"/>
    </row>
    <row r="59" spans="1:6" ht="28.8">
      <c r="A59" s="29" t="s">
        <v>504</v>
      </c>
      <c r="B59" s="30" t="s">
        <v>616</v>
      </c>
      <c r="C59" s="31" t="s">
        <v>490</v>
      </c>
      <c r="D59" s="32">
        <v>2.8</v>
      </c>
      <c r="E59" s="32"/>
      <c r="F59" s="32">
        <f>D59*E59</f>
        <v>0</v>
      </c>
    </row>
    <row r="60" spans="1:6">
      <c r="A60" s="5"/>
      <c r="B60" s="5"/>
      <c r="C60" s="5"/>
      <c r="D60" s="5"/>
      <c r="E60" s="5"/>
      <c r="F60" s="5"/>
    </row>
    <row r="61" spans="1:6">
      <c r="A61" s="60" t="s">
        <v>617</v>
      </c>
      <c r="B61" s="58"/>
      <c r="C61" s="58"/>
      <c r="D61" s="58"/>
      <c r="E61" s="58"/>
      <c r="F61" s="58"/>
    </row>
    <row r="62" spans="1:6" ht="28.8">
      <c r="A62" s="29" t="s">
        <v>508</v>
      </c>
      <c r="B62" s="30" t="s">
        <v>618</v>
      </c>
      <c r="C62" s="31" t="s">
        <v>490</v>
      </c>
      <c r="D62" s="32">
        <v>3.2</v>
      </c>
      <c r="E62" s="32"/>
      <c r="F62" s="32">
        <f>D62*E62</f>
        <v>0</v>
      </c>
    </row>
    <row r="63" spans="1:6">
      <c r="A63" s="5"/>
      <c r="B63" s="5"/>
      <c r="C63" s="5"/>
      <c r="D63" s="5"/>
      <c r="E63" s="5"/>
      <c r="F63" s="5"/>
    </row>
    <row r="64" spans="1:6" ht="28.8">
      <c r="A64" s="29" t="s">
        <v>511</v>
      </c>
      <c r="B64" s="30" t="s">
        <v>619</v>
      </c>
      <c r="C64" s="31" t="s">
        <v>490</v>
      </c>
      <c r="D64" s="32">
        <v>2.6</v>
      </c>
      <c r="E64" s="32"/>
      <c r="F64" s="32">
        <f>D64*E64</f>
        <v>0</v>
      </c>
    </row>
    <row r="65" spans="1:6">
      <c r="A65" s="5"/>
      <c r="B65" s="5"/>
      <c r="C65" s="5"/>
      <c r="D65" s="5"/>
      <c r="E65" s="5"/>
      <c r="F65" s="5"/>
    </row>
    <row r="66" spans="1:6" ht="28.8">
      <c r="A66" s="29" t="s">
        <v>583</v>
      </c>
      <c r="B66" s="30" t="s">
        <v>620</v>
      </c>
      <c r="C66" s="31" t="s">
        <v>490</v>
      </c>
      <c r="D66" s="32">
        <v>1.5</v>
      </c>
      <c r="E66" s="32"/>
      <c r="F66" s="32">
        <f>D66*E66</f>
        <v>0</v>
      </c>
    </row>
    <row r="67" spans="1:6">
      <c r="A67" s="5"/>
      <c r="B67" s="5"/>
      <c r="C67" s="5"/>
      <c r="D67" s="5"/>
      <c r="E67" s="5"/>
      <c r="F67" s="5"/>
    </row>
    <row r="68" spans="1:6">
      <c r="A68" s="60" t="s">
        <v>621</v>
      </c>
      <c r="B68" s="58"/>
      <c r="C68" s="58"/>
      <c r="D68" s="58"/>
      <c r="E68" s="58"/>
      <c r="F68" s="58"/>
    </row>
    <row r="69" spans="1:6">
      <c r="A69" s="29" t="s">
        <v>622</v>
      </c>
      <c r="B69" s="30" t="s">
        <v>623</v>
      </c>
      <c r="C69" s="31" t="s">
        <v>503</v>
      </c>
      <c r="D69" s="32">
        <v>18</v>
      </c>
      <c r="E69" s="32"/>
      <c r="F69" s="32">
        <f>D69*E69</f>
        <v>0</v>
      </c>
    </row>
    <row r="70" spans="1:6">
      <c r="A70" s="5"/>
      <c r="B70" s="5"/>
      <c r="C70" s="5"/>
      <c r="D70" s="5"/>
      <c r="E70" s="5"/>
      <c r="F70" s="5"/>
    </row>
    <row r="71" spans="1:6">
      <c r="A71" s="29" t="s">
        <v>624</v>
      </c>
      <c r="B71" s="30" t="s">
        <v>625</v>
      </c>
      <c r="C71" s="31" t="s">
        <v>445</v>
      </c>
      <c r="D71" s="32">
        <v>8.5</v>
      </c>
      <c r="E71" s="32"/>
      <c r="F71" s="32">
        <f>D71*E71</f>
        <v>0</v>
      </c>
    </row>
    <row r="72" spans="1:6">
      <c r="A72" s="5"/>
      <c r="B72" s="5"/>
      <c r="C72" s="5"/>
      <c r="D72" s="5"/>
      <c r="E72" s="5"/>
      <c r="F72" s="5"/>
    </row>
    <row r="73" spans="1:6" ht="28.8">
      <c r="A73" s="29" t="s">
        <v>626</v>
      </c>
      <c r="B73" s="30" t="s">
        <v>627</v>
      </c>
      <c r="C73" s="31" t="s">
        <v>445</v>
      </c>
      <c r="D73" s="32">
        <v>12</v>
      </c>
      <c r="E73" s="32"/>
      <c r="F73" s="32">
        <f>D73*E73</f>
        <v>0</v>
      </c>
    </row>
    <row r="74" spans="1:6">
      <c r="A74" s="5"/>
      <c r="B74" s="5"/>
      <c r="C74" s="5"/>
      <c r="D74" s="5"/>
      <c r="E74" s="5"/>
      <c r="F74" s="5"/>
    </row>
    <row r="75" spans="1:6">
      <c r="A75" s="29" t="s">
        <v>628</v>
      </c>
      <c r="B75" s="30" t="s">
        <v>629</v>
      </c>
      <c r="C75" s="31" t="s">
        <v>445</v>
      </c>
      <c r="D75" s="32">
        <v>7.5</v>
      </c>
      <c r="E75" s="32"/>
      <c r="F75" s="32">
        <f>D75*E75</f>
        <v>0</v>
      </c>
    </row>
    <row r="76" spans="1:6">
      <c r="A76" s="5"/>
      <c r="B76" s="5"/>
      <c r="C76" s="5"/>
      <c r="D76" s="5"/>
      <c r="E76" s="5"/>
      <c r="F76" s="5"/>
    </row>
    <row r="77" spans="1:6">
      <c r="A77" s="60" t="s">
        <v>630</v>
      </c>
      <c r="B77" s="58"/>
      <c r="C77" s="58"/>
      <c r="D77" s="58"/>
      <c r="E77" s="58"/>
      <c r="F77" s="58"/>
    </row>
    <row r="78" spans="1:6">
      <c r="A78" s="29" t="s">
        <v>631</v>
      </c>
      <c r="B78" s="30" t="s">
        <v>632</v>
      </c>
      <c r="C78" s="31" t="s">
        <v>633</v>
      </c>
      <c r="D78" s="32">
        <v>0.18</v>
      </c>
      <c r="E78" s="32"/>
      <c r="F78" s="32">
        <f>D78*E78</f>
        <v>0</v>
      </c>
    </row>
    <row r="79" spans="1:6">
      <c r="A79" s="5"/>
      <c r="B79" s="5"/>
      <c r="C79" s="5"/>
      <c r="D79" s="5"/>
      <c r="E79" s="5"/>
      <c r="F79" s="5"/>
    </row>
    <row r="80" spans="1:6">
      <c r="A80" s="29" t="s">
        <v>634</v>
      </c>
      <c r="B80" s="30" t="s">
        <v>635</v>
      </c>
      <c r="C80" s="31" t="s">
        <v>633</v>
      </c>
      <c r="D80" s="32">
        <v>0.15</v>
      </c>
      <c r="E80" s="32"/>
      <c r="F80" s="32">
        <f>D80*E80</f>
        <v>0</v>
      </c>
    </row>
    <row r="81" spans="1:6">
      <c r="A81" s="5"/>
      <c r="B81" s="5"/>
      <c r="C81" s="5"/>
      <c r="D81" s="5"/>
      <c r="E81" s="5"/>
      <c r="F81" s="5"/>
    </row>
    <row r="82" spans="1:6">
      <c r="A82" s="29" t="s">
        <v>636</v>
      </c>
      <c r="B82" s="30" t="s">
        <v>637</v>
      </c>
      <c r="C82" s="31" t="s">
        <v>633</v>
      </c>
      <c r="D82" s="32">
        <v>0.28000000000000003</v>
      </c>
      <c r="E82" s="32"/>
      <c r="F82" s="32">
        <f>D82*E82</f>
        <v>0</v>
      </c>
    </row>
    <row r="83" spans="1:6">
      <c r="A83" s="5"/>
      <c r="B83" s="5"/>
      <c r="C83" s="5"/>
      <c r="D83" s="5"/>
      <c r="E83" s="5"/>
      <c r="F83" s="5"/>
    </row>
    <row r="84" spans="1:6">
      <c r="A84" s="29" t="s">
        <v>638</v>
      </c>
      <c r="B84" s="30" t="s">
        <v>639</v>
      </c>
      <c r="C84" s="31" t="s">
        <v>633</v>
      </c>
      <c r="D84" s="32">
        <v>0.21</v>
      </c>
      <c r="E84" s="32"/>
      <c r="F84" s="32">
        <f>D84*E84</f>
        <v>0</v>
      </c>
    </row>
    <row r="85" spans="1:6">
      <c r="A85" s="5"/>
      <c r="B85" s="5"/>
      <c r="C85" s="5"/>
      <c r="D85" s="5"/>
      <c r="E85" s="5"/>
      <c r="F85" s="5"/>
    </row>
    <row r="86" spans="1:6">
      <c r="A86" s="29" t="s">
        <v>640</v>
      </c>
      <c r="B86" s="30" t="s">
        <v>641</v>
      </c>
      <c r="C86" s="31" t="s">
        <v>445</v>
      </c>
      <c r="D86" s="32">
        <v>14</v>
      </c>
      <c r="E86" s="32"/>
      <c r="F86" s="32">
        <f>D86*E86</f>
        <v>0</v>
      </c>
    </row>
    <row r="87" spans="1:6">
      <c r="A87" s="5"/>
      <c r="B87" s="5"/>
      <c r="C87" s="5"/>
      <c r="D87" s="5"/>
      <c r="E87" s="5"/>
      <c r="F87" s="5"/>
    </row>
    <row r="88" spans="1:6">
      <c r="A88" s="60" t="s">
        <v>642</v>
      </c>
      <c r="B88" s="58"/>
      <c r="C88" s="58"/>
      <c r="D88" s="58"/>
      <c r="E88" s="58"/>
      <c r="F88" s="58"/>
    </row>
    <row r="89" spans="1:6" ht="28.8">
      <c r="A89" s="29" t="s">
        <v>643</v>
      </c>
      <c r="B89" s="30" t="s">
        <v>644</v>
      </c>
      <c r="C89" s="31" t="s">
        <v>503</v>
      </c>
      <c r="D89" s="32">
        <v>8</v>
      </c>
      <c r="E89" s="32"/>
      <c r="F89" s="32">
        <f>D89*E89</f>
        <v>0</v>
      </c>
    </row>
    <row r="90" spans="1:6">
      <c r="A90" s="5"/>
      <c r="B90" s="5"/>
      <c r="C90" s="5"/>
      <c r="D90" s="5"/>
      <c r="E90" s="5"/>
      <c r="F90" s="5"/>
    </row>
    <row r="91" spans="1:6">
      <c r="A91" s="29" t="s">
        <v>645</v>
      </c>
      <c r="B91" s="30" t="s">
        <v>646</v>
      </c>
      <c r="C91" s="31" t="s">
        <v>503</v>
      </c>
      <c r="D91" s="32">
        <v>8</v>
      </c>
      <c r="E91" s="32"/>
      <c r="F91" s="32">
        <f>D91*E91</f>
        <v>0</v>
      </c>
    </row>
    <row r="92" spans="1:6">
      <c r="A92" s="5"/>
      <c r="B92" s="5"/>
      <c r="C92" s="5"/>
      <c r="D92" s="5"/>
      <c r="E92" s="5"/>
      <c r="F92" s="5"/>
    </row>
    <row r="93" spans="1:6">
      <c r="A93" s="5"/>
      <c r="B93" s="33" t="s">
        <v>611</v>
      </c>
      <c r="C93" s="5"/>
      <c r="D93" s="5"/>
      <c r="E93" s="5"/>
      <c r="F93" s="34">
        <f>SUBTOTAL(9,F53:F92)</f>
        <v>0</v>
      </c>
    </row>
    <row r="94" spans="1:6">
      <c r="A94" s="5"/>
      <c r="B94" s="5"/>
      <c r="C94" s="5"/>
      <c r="D94" s="5"/>
      <c r="E94" s="5"/>
      <c r="F94" s="5"/>
    </row>
    <row r="95" spans="1:6">
      <c r="A95" s="61" t="s">
        <v>647</v>
      </c>
      <c r="B95" s="58"/>
      <c r="C95" s="58"/>
      <c r="D95" s="58"/>
      <c r="E95" s="58"/>
      <c r="F95" s="58"/>
    </row>
    <row r="96" spans="1:6">
      <c r="A96" s="5"/>
      <c r="B96" s="5"/>
      <c r="C96" s="5"/>
      <c r="D96" s="5"/>
      <c r="E96" s="5"/>
      <c r="F96" s="5"/>
    </row>
    <row r="97" spans="1:6">
      <c r="A97" s="60" t="s">
        <v>648</v>
      </c>
      <c r="B97" s="58"/>
      <c r="C97" s="58"/>
      <c r="D97" s="58"/>
      <c r="E97" s="58"/>
      <c r="F97" s="58"/>
    </row>
    <row r="98" spans="1:6" ht="28.8">
      <c r="A98" s="29" t="s">
        <v>517</v>
      </c>
      <c r="B98" s="30" t="s">
        <v>649</v>
      </c>
      <c r="C98" s="31" t="s">
        <v>445</v>
      </c>
      <c r="D98" s="32">
        <v>12.5</v>
      </c>
      <c r="E98" s="32"/>
      <c r="F98" s="32">
        <f>D98*E98</f>
        <v>0</v>
      </c>
    </row>
    <row r="99" spans="1:6">
      <c r="A99" s="5"/>
      <c r="B99" s="5"/>
      <c r="C99" s="5"/>
      <c r="D99" s="5"/>
      <c r="E99" s="5"/>
      <c r="F99" s="5"/>
    </row>
    <row r="100" spans="1:6">
      <c r="A100" s="60" t="s">
        <v>650</v>
      </c>
      <c r="B100" s="58"/>
      <c r="C100" s="58"/>
      <c r="D100" s="58"/>
      <c r="E100" s="58"/>
      <c r="F100" s="58"/>
    </row>
    <row r="101" spans="1:6">
      <c r="A101" s="29" t="s">
        <v>520</v>
      </c>
      <c r="B101" s="30" t="s">
        <v>651</v>
      </c>
      <c r="C101" s="31" t="s">
        <v>503</v>
      </c>
      <c r="D101" s="32">
        <v>18</v>
      </c>
      <c r="E101" s="32"/>
      <c r="F101" s="32">
        <f>D101*E101</f>
        <v>0</v>
      </c>
    </row>
    <row r="102" spans="1:6">
      <c r="A102" s="5"/>
      <c r="B102" s="5"/>
      <c r="C102" s="5"/>
      <c r="D102" s="5"/>
      <c r="E102" s="5"/>
      <c r="F102" s="5"/>
    </row>
    <row r="103" spans="1:6">
      <c r="A103" s="5"/>
      <c r="B103" s="33" t="s">
        <v>611</v>
      </c>
      <c r="C103" s="5"/>
      <c r="D103" s="5"/>
      <c r="E103" s="5"/>
      <c r="F103" s="34">
        <f>SUBTOTAL(9,F96:F102)</f>
        <v>0</v>
      </c>
    </row>
    <row r="104" spans="1:6">
      <c r="A104" s="5"/>
      <c r="B104" s="5"/>
      <c r="C104" s="5"/>
      <c r="D104" s="5"/>
      <c r="E104" s="5"/>
      <c r="F104" s="5"/>
    </row>
    <row r="105" spans="1:6">
      <c r="A105" s="61" t="s">
        <v>652</v>
      </c>
      <c r="B105" s="58"/>
      <c r="C105" s="58"/>
      <c r="D105" s="58"/>
      <c r="E105" s="58"/>
      <c r="F105" s="58"/>
    </row>
    <row r="106" spans="1:6">
      <c r="A106" s="5"/>
      <c r="B106" s="5"/>
      <c r="C106" s="5"/>
      <c r="D106" s="5"/>
      <c r="E106" s="5"/>
      <c r="F106" s="5"/>
    </row>
    <row r="107" spans="1:6">
      <c r="A107" s="60" t="s">
        <v>653</v>
      </c>
      <c r="B107" s="58"/>
      <c r="C107" s="58"/>
      <c r="D107" s="58"/>
      <c r="E107" s="58"/>
      <c r="F107" s="58"/>
    </row>
    <row r="108" spans="1:6" ht="28.8">
      <c r="A108" s="29" t="s">
        <v>531</v>
      </c>
      <c r="B108" s="30" t="s">
        <v>654</v>
      </c>
      <c r="C108" s="31" t="s">
        <v>445</v>
      </c>
      <c r="D108" s="32">
        <v>12.5</v>
      </c>
      <c r="E108" s="32"/>
      <c r="F108" s="32">
        <f>D108*E108</f>
        <v>0</v>
      </c>
    </row>
    <row r="109" spans="1:6">
      <c r="A109" s="5"/>
      <c r="B109" s="5"/>
      <c r="C109" s="5"/>
      <c r="D109" s="5"/>
      <c r="E109" s="5"/>
      <c r="F109" s="5"/>
    </row>
    <row r="110" spans="1:6" ht="28.8">
      <c r="A110" s="29" t="s">
        <v>534</v>
      </c>
      <c r="B110" s="30" t="s">
        <v>655</v>
      </c>
      <c r="C110" s="31" t="s">
        <v>445</v>
      </c>
      <c r="D110" s="32">
        <v>22</v>
      </c>
      <c r="E110" s="32"/>
      <c r="F110" s="32">
        <f>D110*E110</f>
        <v>0</v>
      </c>
    </row>
    <row r="111" spans="1:6">
      <c r="A111" s="5"/>
      <c r="B111" s="5"/>
      <c r="C111" s="5"/>
      <c r="D111" s="5"/>
      <c r="E111" s="5"/>
      <c r="F111" s="5"/>
    </row>
    <row r="112" spans="1:6">
      <c r="A112" s="5"/>
      <c r="B112" s="33" t="s">
        <v>611</v>
      </c>
      <c r="C112" s="5"/>
      <c r="D112" s="5"/>
      <c r="E112" s="5"/>
      <c r="F112" s="34">
        <f>SUBTOTAL(9,F104:F111)</f>
        <v>0</v>
      </c>
    </row>
    <row r="113" spans="1:6">
      <c r="A113" s="5"/>
      <c r="B113" s="5"/>
      <c r="C113" s="5"/>
      <c r="D113" s="5"/>
      <c r="E113" s="5"/>
      <c r="F113" s="5"/>
    </row>
    <row r="114" spans="1:6">
      <c r="A114" s="5"/>
      <c r="B114" s="5"/>
      <c r="C114" s="5"/>
      <c r="D114" s="5"/>
      <c r="E114" s="5"/>
      <c r="F114" s="5"/>
    </row>
    <row r="115" spans="1:6">
      <c r="A115" s="61" t="s">
        <v>656</v>
      </c>
      <c r="B115" s="58"/>
      <c r="C115" s="58"/>
      <c r="D115" s="58"/>
      <c r="E115" s="58"/>
      <c r="F115" s="58"/>
    </row>
    <row r="116" spans="1:6">
      <c r="A116" s="5"/>
      <c r="B116" s="5"/>
      <c r="C116" s="5"/>
      <c r="D116" s="5"/>
      <c r="E116" s="5"/>
      <c r="F116" s="5"/>
    </row>
    <row r="117" spans="1:6">
      <c r="A117" s="5"/>
      <c r="B117" s="35" t="s">
        <v>597</v>
      </c>
      <c r="C117" s="5"/>
      <c r="D117" s="5"/>
      <c r="E117" s="5"/>
      <c r="F117" s="36">
        <f>F50</f>
        <v>0</v>
      </c>
    </row>
    <row r="118" spans="1:6">
      <c r="A118" s="5"/>
      <c r="B118" s="35" t="s">
        <v>612</v>
      </c>
      <c r="C118" s="5"/>
      <c r="D118" s="5"/>
      <c r="E118" s="5"/>
      <c r="F118" s="36">
        <f>F93</f>
        <v>0</v>
      </c>
    </row>
    <row r="119" spans="1:6">
      <c r="A119" s="5"/>
      <c r="B119" s="35" t="s">
        <v>647</v>
      </c>
      <c r="C119" s="5"/>
      <c r="D119" s="5"/>
      <c r="E119" s="5"/>
      <c r="F119" s="36">
        <f>F101</f>
        <v>0</v>
      </c>
    </row>
    <row r="120" spans="1:6">
      <c r="A120" s="5"/>
      <c r="B120" s="35" t="s">
        <v>652</v>
      </c>
      <c r="C120" s="5"/>
      <c r="D120" s="5"/>
      <c r="E120" s="5"/>
      <c r="F120" s="36">
        <f>F107</f>
        <v>0</v>
      </c>
    </row>
    <row r="121" spans="1:6">
      <c r="A121" s="5"/>
      <c r="B121" s="5"/>
      <c r="C121" s="5"/>
      <c r="D121" s="5"/>
      <c r="E121" s="5"/>
      <c r="F121" s="5"/>
    </row>
    <row r="122" spans="1:6">
      <c r="A122" s="5"/>
      <c r="B122" s="37" t="s">
        <v>657</v>
      </c>
      <c r="C122" s="5"/>
      <c r="D122" s="5"/>
      <c r="E122" s="5"/>
      <c r="F122" s="38">
        <f>SUM(F111:F114)</f>
        <v>0</v>
      </c>
    </row>
    <row r="125" spans="1:6">
      <c r="A125" s="62" t="s">
        <v>658</v>
      </c>
      <c r="B125" s="58"/>
      <c r="C125" s="58"/>
      <c r="D125" s="58"/>
      <c r="E125" s="58"/>
      <c r="F125" s="58"/>
    </row>
    <row r="126" spans="1:6">
      <c r="A126" s="58"/>
      <c r="B126" s="58"/>
      <c r="C126" s="58"/>
      <c r="D126" s="58"/>
      <c r="E126" s="58"/>
      <c r="F126" s="58"/>
    </row>
    <row r="127" spans="1:6">
      <c r="A127" s="58"/>
      <c r="B127" s="58"/>
      <c r="C127" s="58"/>
      <c r="D127" s="58"/>
      <c r="E127" s="58"/>
      <c r="F127" s="58"/>
    </row>
    <row r="128" spans="1:6">
      <c r="A128" s="58"/>
      <c r="B128" s="58"/>
      <c r="C128" s="58"/>
      <c r="D128" s="58"/>
      <c r="E128" s="58"/>
      <c r="F128" s="58"/>
    </row>
    <row r="129" spans="1:6">
      <c r="A129" s="58"/>
      <c r="B129" s="58"/>
      <c r="C129" s="58"/>
      <c r="D129" s="58"/>
      <c r="E129" s="58"/>
      <c r="F129" s="58"/>
    </row>
  </sheetData>
  <mergeCells count="39">
    <mergeCell ref="A129:F129"/>
    <mergeCell ref="A14:F14"/>
    <mergeCell ref="A5:F5"/>
    <mergeCell ref="A23:F23"/>
    <mergeCell ref="A126:F126"/>
    <mergeCell ref="A8:F8"/>
    <mergeCell ref="A97:F97"/>
    <mergeCell ref="A17:F17"/>
    <mergeCell ref="A100:F100"/>
    <mergeCell ref="A20:F20"/>
    <mergeCell ref="A29:F29"/>
    <mergeCell ref="A43:F43"/>
    <mergeCell ref="A125:F125"/>
    <mergeCell ref="A52:F52"/>
    <mergeCell ref="A10:F10"/>
    <mergeCell ref="A115:F115"/>
    <mergeCell ref="A3:F3"/>
    <mergeCell ref="A26:F26"/>
    <mergeCell ref="A21:F21"/>
    <mergeCell ref="A95:F95"/>
    <mergeCell ref="A2:F2"/>
    <mergeCell ref="A68:F68"/>
    <mergeCell ref="A31:F31"/>
    <mergeCell ref="A34:F34"/>
    <mergeCell ref="A77:F77"/>
    <mergeCell ref="A15:F15"/>
    <mergeCell ref="A24:F24"/>
    <mergeCell ref="A11:F11"/>
    <mergeCell ref="A61:F61"/>
    <mergeCell ref="A6:F6"/>
    <mergeCell ref="A88:F88"/>
    <mergeCell ref="A54:F54"/>
    <mergeCell ref="A128:F128"/>
    <mergeCell ref="A27:F27"/>
    <mergeCell ref="A105:F105"/>
    <mergeCell ref="A12:F12"/>
    <mergeCell ref="A18:F18"/>
    <mergeCell ref="A127:F127"/>
    <mergeCell ref="A107:F10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1"/>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659</v>
      </c>
    </row>
    <row r="2" spans="1:6">
      <c r="B2" s="44" t="s">
        <v>50</v>
      </c>
    </row>
    <row r="4" spans="1:6">
      <c r="A4" s="45" t="s">
        <v>424</v>
      </c>
      <c r="B4" s="45" t="s">
        <v>52</v>
      </c>
      <c r="C4" s="45" t="s">
        <v>425</v>
      </c>
      <c r="D4" s="45" t="s">
        <v>426</v>
      </c>
      <c r="E4" s="45" t="s">
        <v>427</v>
      </c>
      <c r="F4" s="45" t="s">
        <v>428</v>
      </c>
    </row>
    <row r="6" spans="1:6">
      <c r="B6" s="11" t="s">
        <v>660</v>
      </c>
    </row>
    <row r="8" spans="1:6" ht="41.4">
      <c r="A8" t="s">
        <v>522</v>
      </c>
      <c r="B8" s="46" t="s">
        <v>661</v>
      </c>
      <c r="C8" t="s">
        <v>503</v>
      </c>
      <c r="D8">
        <v>120</v>
      </c>
    </row>
    <row r="9" spans="1:6" ht="41.4">
      <c r="A9" t="s">
        <v>506</v>
      </c>
      <c r="B9" s="46" t="s">
        <v>662</v>
      </c>
      <c r="C9" t="s">
        <v>503</v>
      </c>
      <c r="D9">
        <v>45</v>
      </c>
    </row>
    <row r="11" spans="1:6">
      <c r="B11" s="11" t="s">
        <v>663</v>
      </c>
      <c r="D11">
        <v>33.6</v>
      </c>
    </row>
    <row r="13" spans="1:6" ht="27.6">
      <c r="A13" t="s">
        <v>664</v>
      </c>
      <c r="B13" s="46" t="s">
        <v>665</v>
      </c>
      <c r="C13" t="s">
        <v>503</v>
      </c>
      <c r="D13">
        <v>24</v>
      </c>
    </row>
    <row r="14" spans="1:6" ht="27.6">
      <c r="A14" t="s">
        <v>666</v>
      </c>
      <c r="B14" s="46" t="s">
        <v>667</v>
      </c>
      <c r="C14" t="s">
        <v>503</v>
      </c>
      <c r="D14">
        <v>12</v>
      </c>
    </row>
    <row r="16" spans="1:6">
      <c r="B16" s="11" t="s">
        <v>668</v>
      </c>
      <c r="D16">
        <v>15</v>
      </c>
    </row>
    <row r="17" spans="1:4">
      <c r="D17">
        <v>25</v>
      </c>
    </row>
    <row r="18" spans="1:4" ht="27.6">
      <c r="A18" t="s">
        <v>536</v>
      </c>
      <c r="B18" s="46" t="s">
        <v>669</v>
      </c>
      <c r="C18" t="s">
        <v>503</v>
      </c>
      <c r="D18">
        <v>10</v>
      </c>
    </row>
    <row r="20" spans="1:4">
      <c r="B20" s="11" t="s">
        <v>670</v>
      </c>
    </row>
    <row r="22" spans="1:4" ht="27.6">
      <c r="A22" t="s">
        <v>499</v>
      </c>
      <c r="B22" s="46" t="s">
        <v>671</v>
      </c>
      <c r="C22" t="s">
        <v>463</v>
      </c>
      <c r="D22">
        <v>15</v>
      </c>
    </row>
    <row r="23" spans="1:4" ht="27.6">
      <c r="A23" t="s">
        <v>672</v>
      </c>
      <c r="B23" s="46" t="s">
        <v>673</v>
      </c>
      <c r="C23" t="s">
        <v>463</v>
      </c>
      <c r="D23">
        <v>12</v>
      </c>
    </row>
    <row r="24" spans="1:4" ht="27.6">
      <c r="A24" t="s">
        <v>674</v>
      </c>
      <c r="B24" s="46" t="s">
        <v>675</v>
      </c>
      <c r="C24" t="s">
        <v>463</v>
      </c>
      <c r="D24">
        <v>6</v>
      </c>
    </row>
    <row r="26" spans="1:4">
      <c r="B26" s="11" t="s">
        <v>676</v>
      </c>
    </row>
    <row r="28" spans="1:4" ht="41.4">
      <c r="A28" t="s">
        <v>533</v>
      </c>
      <c r="B28" s="46" t="s">
        <v>677</v>
      </c>
      <c r="C28" t="s">
        <v>445</v>
      </c>
      <c r="D28">
        <v>18</v>
      </c>
    </row>
    <row r="30" spans="1:4">
      <c r="B30" s="11" t="s">
        <v>678</v>
      </c>
    </row>
    <row r="32" spans="1:4" ht="27.6">
      <c r="A32" t="s">
        <v>679</v>
      </c>
      <c r="B32" s="46" t="s">
        <v>680</v>
      </c>
      <c r="C32" t="s">
        <v>445</v>
      </c>
      <c r="D32">
        <v>120</v>
      </c>
    </row>
    <row r="34" spans="1:4">
      <c r="B34" s="47" t="s">
        <v>581</v>
      </c>
    </row>
    <row r="35" spans="1:4">
      <c r="B35" s="9" t="s">
        <v>681</v>
      </c>
    </row>
    <row r="36" spans="1:4">
      <c r="B36" s="9" t="s">
        <v>682</v>
      </c>
    </row>
    <row r="37" spans="1:4">
      <c r="B37" s="9" t="s">
        <v>683</v>
      </c>
    </row>
    <row r="38" spans="1:4">
      <c r="B38" s="9" t="s">
        <v>684</v>
      </c>
    </row>
    <row r="39" spans="1:4">
      <c r="B39" s="9" t="s">
        <v>685</v>
      </c>
    </row>
    <row r="40" spans="1:4">
      <c r="B40" s="9" t="s">
        <v>686</v>
      </c>
    </row>
    <row r="41" spans="1:4">
      <c r="B41" s="9" t="s">
        <v>687</v>
      </c>
    </row>
    <row r="43" spans="1:4">
      <c r="B43" s="11" t="s">
        <v>688</v>
      </c>
    </row>
    <row r="45" spans="1:4">
      <c r="A45">
        <v>11</v>
      </c>
      <c r="B45" s="46" t="s">
        <v>689</v>
      </c>
      <c r="C45" t="s">
        <v>445</v>
      </c>
      <c r="D45">
        <v>58</v>
      </c>
    </row>
    <row r="46" spans="1:4">
      <c r="A46">
        <v>12</v>
      </c>
      <c r="B46" s="46" t="s">
        <v>690</v>
      </c>
      <c r="C46" t="s">
        <v>445</v>
      </c>
      <c r="D46">
        <v>32</v>
      </c>
    </row>
    <row r="47" spans="1:4">
      <c r="A47">
        <v>13</v>
      </c>
      <c r="B47" s="46" t="s">
        <v>691</v>
      </c>
      <c r="C47" t="s">
        <v>445</v>
      </c>
      <c r="D47">
        <v>22</v>
      </c>
    </row>
    <row r="48" spans="1:4">
      <c r="A48">
        <v>14</v>
      </c>
      <c r="B48" s="46" t="s">
        <v>692</v>
      </c>
      <c r="C48" t="s">
        <v>445</v>
      </c>
      <c r="D48">
        <v>14</v>
      </c>
    </row>
    <row r="49" spans="1:4">
      <c r="A49">
        <v>15</v>
      </c>
      <c r="B49" s="46" t="s">
        <v>693</v>
      </c>
      <c r="C49" t="s">
        <v>445</v>
      </c>
      <c r="D49">
        <v>15</v>
      </c>
    </row>
    <row r="50" spans="1:4">
      <c r="A50">
        <v>16</v>
      </c>
      <c r="B50" s="46" t="s">
        <v>694</v>
      </c>
      <c r="C50" t="s">
        <v>503</v>
      </c>
      <c r="D50">
        <v>0</v>
      </c>
    </row>
    <row r="51" spans="1:4">
      <c r="A51">
        <v>17</v>
      </c>
      <c r="B51" s="46" t="s">
        <v>695</v>
      </c>
      <c r="C51" t="s">
        <v>445</v>
      </c>
      <c r="D51">
        <v>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6"/>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696</v>
      </c>
    </row>
    <row r="2" spans="1:6">
      <c r="B2" s="44" t="s">
        <v>50</v>
      </c>
    </row>
    <row r="4" spans="1:6">
      <c r="A4" s="45" t="s">
        <v>424</v>
      </c>
      <c r="B4" s="45" t="s">
        <v>52</v>
      </c>
      <c r="C4" s="45" t="s">
        <v>425</v>
      </c>
      <c r="D4" s="45" t="s">
        <v>426</v>
      </c>
      <c r="E4" s="45" t="s">
        <v>427</v>
      </c>
      <c r="F4" s="45" t="s">
        <v>428</v>
      </c>
    </row>
    <row r="6" spans="1:6">
      <c r="B6" s="11" t="s">
        <v>697</v>
      </c>
    </row>
    <row r="8" spans="1:6" ht="41.4">
      <c r="A8">
        <v>1</v>
      </c>
      <c r="B8" s="46" t="s">
        <v>698</v>
      </c>
      <c r="C8" t="s">
        <v>445</v>
      </c>
      <c r="D8">
        <v>235.2</v>
      </c>
    </row>
    <row r="9" spans="1:6" ht="27.6">
      <c r="A9">
        <v>2</v>
      </c>
      <c r="B9" s="46" t="s">
        <v>699</v>
      </c>
      <c r="C9" t="s">
        <v>445</v>
      </c>
      <c r="D9">
        <v>85</v>
      </c>
    </row>
    <row r="11" spans="1:6">
      <c r="B11" s="11" t="s">
        <v>700</v>
      </c>
      <c r="D11">
        <v>100.8</v>
      </c>
    </row>
    <row r="13" spans="1:6" ht="27.6">
      <c r="A13">
        <v>3</v>
      </c>
      <c r="B13" s="46" t="s">
        <v>701</v>
      </c>
      <c r="C13" t="s">
        <v>445</v>
      </c>
      <c r="D13">
        <v>110</v>
      </c>
    </row>
    <row r="14" spans="1:6">
      <c r="A14">
        <v>4</v>
      </c>
      <c r="B14" s="46" t="s">
        <v>702</v>
      </c>
      <c r="C14" t="s">
        <v>445</v>
      </c>
      <c r="D14">
        <v>68</v>
      </c>
    </row>
    <row r="15" spans="1:6" ht="27.6">
      <c r="A15">
        <v>5</v>
      </c>
      <c r="B15" s="46" t="s">
        <v>703</v>
      </c>
      <c r="C15" t="s">
        <v>445</v>
      </c>
      <c r="D15">
        <v>228.8</v>
      </c>
    </row>
    <row r="16" spans="1:6">
      <c r="D16">
        <v>114.4</v>
      </c>
    </row>
    <row r="17" spans="1:4">
      <c r="B17" s="11" t="s">
        <v>704</v>
      </c>
      <c r="D17">
        <v>38.1</v>
      </c>
    </row>
    <row r="19" spans="1:4" ht="27.6">
      <c r="A19">
        <v>6</v>
      </c>
      <c r="B19" s="46" t="s">
        <v>705</v>
      </c>
      <c r="C19" t="s">
        <v>503</v>
      </c>
      <c r="D19">
        <v>110</v>
      </c>
    </row>
    <row r="20" spans="1:4" ht="27.6">
      <c r="A20">
        <v>7</v>
      </c>
      <c r="B20" s="46" t="s">
        <v>706</v>
      </c>
      <c r="C20" t="s">
        <v>503</v>
      </c>
      <c r="D20">
        <v>68</v>
      </c>
    </row>
    <row r="21" spans="1:4" ht="27.6">
      <c r="A21">
        <v>8</v>
      </c>
      <c r="B21" s="46" t="s">
        <v>707</v>
      </c>
      <c r="C21" t="s">
        <v>503</v>
      </c>
      <c r="D21">
        <v>75.2</v>
      </c>
    </row>
    <row r="22" spans="1:4">
      <c r="D22">
        <v>56.4</v>
      </c>
    </row>
    <row r="23" spans="1:4">
      <c r="B23" s="11" t="s">
        <v>708</v>
      </c>
      <c r="D23">
        <v>80</v>
      </c>
    </row>
    <row r="25" spans="1:4" ht="41.4">
      <c r="A25">
        <v>9</v>
      </c>
      <c r="B25" s="46" t="s">
        <v>709</v>
      </c>
      <c r="C25" t="s">
        <v>490</v>
      </c>
      <c r="D25">
        <v>2.8</v>
      </c>
    </row>
    <row r="27" spans="1:4">
      <c r="B27" s="11" t="s">
        <v>710</v>
      </c>
      <c r="D27">
        <v>12.4</v>
      </c>
    </row>
    <row r="29" spans="1:4" ht="27.6">
      <c r="A29">
        <v>10</v>
      </c>
      <c r="B29" s="46" t="s">
        <v>711</v>
      </c>
      <c r="C29" t="s">
        <v>503</v>
      </c>
      <c r="D29">
        <v>92</v>
      </c>
    </row>
    <row r="30" spans="1:4">
      <c r="A30">
        <v>11</v>
      </c>
      <c r="B30" s="46" t="s">
        <v>712</v>
      </c>
      <c r="C30" t="s">
        <v>503</v>
      </c>
      <c r="D30">
        <v>28</v>
      </c>
    </row>
    <row r="31" spans="1:4">
      <c r="D31">
        <v>150</v>
      </c>
    </row>
    <row r="32" spans="1:4">
      <c r="B32" s="11" t="s">
        <v>713</v>
      </c>
      <c r="D32">
        <v>50</v>
      </c>
    </row>
    <row r="34" spans="1:4" ht="27.6">
      <c r="A34">
        <v>12</v>
      </c>
      <c r="B34" s="46" t="s">
        <v>714</v>
      </c>
      <c r="C34" t="s">
        <v>463</v>
      </c>
      <c r="D34">
        <v>3</v>
      </c>
    </row>
    <row r="35" spans="1:4" ht="27.6">
      <c r="A35">
        <v>13</v>
      </c>
      <c r="B35" s="46" t="s">
        <v>715</v>
      </c>
      <c r="C35" t="s">
        <v>463</v>
      </c>
      <c r="D35">
        <v>2</v>
      </c>
    </row>
    <row r="36" spans="1:4">
      <c r="D36">
        <v>5</v>
      </c>
    </row>
    <row r="37" spans="1:4">
      <c r="B37" s="47" t="s">
        <v>581</v>
      </c>
      <c r="D37">
        <v>3</v>
      </c>
    </row>
    <row r="38" spans="1:4">
      <c r="B38" s="9" t="s">
        <v>716</v>
      </c>
    </row>
    <row r="39" spans="1:4">
      <c r="B39" s="9" t="s">
        <v>717</v>
      </c>
    </row>
    <row r="40" spans="1:4">
      <c r="B40" s="9" t="s">
        <v>718</v>
      </c>
    </row>
    <row r="41" spans="1:4">
      <c r="B41" s="9" t="s">
        <v>719</v>
      </c>
    </row>
    <row r="42" spans="1:4">
      <c r="B42" s="9" t="s">
        <v>720</v>
      </c>
    </row>
    <row r="43" spans="1:4">
      <c r="B43" s="9" t="s">
        <v>721</v>
      </c>
    </row>
    <row r="44" spans="1:4">
      <c r="B44" s="9" t="s">
        <v>722</v>
      </c>
    </row>
    <row r="45" spans="1:4">
      <c r="B45" s="9" t="s">
        <v>723</v>
      </c>
    </row>
    <row r="46" spans="1:4">
      <c r="B46" s="9" t="s">
        <v>724</v>
      </c>
    </row>
    <row r="49" spans="2:2">
      <c r="B49" s="50" t="s">
        <v>725</v>
      </c>
    </row>
    <row r="50" spans="2:2">
      <c r="B50" s="9" t="s">
        <v>726</v>
      </c>
    </row>
    <row r="51" spans="2:2">
      <c r="B51" s="9" t="s">
        <v>727</v>
      </c>
    </row>
    <row r="52" spans="2:2">
      <c r="B52" s="9" t="s">
        <v>728</v>
      </c>
    </row>
    <row r="53" spans="2:2">
      <c r="B53" s="9" t="s">
        <v>729</v>
      </c>
    </row>
    <row r="54" spans="2:2">
      <c r="B54" s="9" t="s">
        <v>730</v>
      </c>
    </row>
    <row r="55" spans="2:2">
      <c r="B55" s="9" t="s">
        <v>731</v>
      </c>
    </row>
    <row r="56" spans="2:2">
      <c r="B56" s="9" t="s">
        <v>732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3"/>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733</v>
      </c>
    </row>
    <row r="2" spans="1:6">
      <c r="B2" s="44" t="s">
        <v>50</v>
      </c>
    </row>
    <row r="4" spans="1:6">
      <c r="A4" s="45" t="s">
        <v>424</v>
      </c>
      <c r="B4" s="45" t="s">
        <v>52</v>
      </c>
      <c r="C4" s="45" t="s">
        <v>425</v>
      </c>
      <c r="D4" s="45" t="s">
        <v>426</v>
      </c>
      <c r="E4" s="45" t="s">
        <v>427</v>
      </c>
      <c r="F4" s="45" t="s">
        <v>428</v>
      </c>
    </row>
    <row r="6" spans="1:6">
      <c r="B6" s="11" t="s">
        <v>734</v>
      </c>
    </row>
    <row r="8" spans="1:6" ht="27.6">
      <c r="A8">
        <v>1</v>
      </c>
      <c r="B8" s="46" t="s">
        <v>735</v>
      </c>
      <c r="C8" t="s">
        <v>503</v>
      </c>
      <c r="D8">
        <v>12</v>
      </c>
    </row>
    <row r="9" spans="1:6" ht="27.6">
      <c r="A9">
        <v>2</v>
      </c>
      <c r="B9" s="46" t="s">
        <v>736</v>
      </c>
      <c r="C9" t="s">
        <v>503</v>
      </c>
      <c r="D9">
        <v>8</v>
      </c>
    </row>
    <row r="10" spans="1:6">
      <c r="A10">
        <v>3</v>
      </c>
      <c r="B10" s="46" t="s">
        <v>737</v>
      </c>
      <c r="C10" t="s">
        <v>503</v>
      </c>
      <c r="D10">
        <v>24</v>
      </c>
    </row>
    <row r="12" spans="1:6">
      <c r="B12" s="11" t="s">
        <v>738</v>
      </c>
    </row>
    <row r="14" spans="1:6">
      <c r="A14">
        <v>4</v>
      </c>
      <c r="B14" s="46" t="s">
        <v>739</v>
      </c>
      <c r="C14" t="s">
        <v>503</v>
      </c>
      <c r="D14">
        <v>35</v>
      </c>
    </row>
    <row r="15" spans="1:6" ht="27.6">
      <c r="A15">
        <v>5</v>
      </c>
      <c r="B15" s="46" t="s">
        <v>740</v>
      </c>
      <c r="C15" t="s">
        <v>503</v>
      </c>
      <c r="D15">
        <v>18</v>
      </c>
    </row>
    <row r="16" spans="1:6" ht="27.6">
      <c r="A16">
        <v>6</v>
      </c>
      <c r="B16" s="46" t="s">
        <v>741</v>
      </c>
      <c r="C16" t="s">
        <v>503</v>
      </c>
      <c r="D16">
        <v>12</v>
      </c>
    </row>
    <row r="17" spans="1:4" ht="27.6">
      <c r="A17">
        <v>7</v>
      </c>
      <c r="B17" s="46" t="s">
        <v>742</v>
      </c>
      <c r="C17" t="s">
        <v>503</v>
      </c>
      <c r="D17">
        <v>8</v>
      </c>
    </row>
    <row r="18" spans="1:4">
      <c r="B18" s="47" t="s">
        <v>581</v>
      </c>
    </row>
    <row r="19" spans="1:4">
      <c r="B19" s="11" t="s">
        <v>743</v>
      </c>
    </row>
    <row r="20" spans="1:4">
      <c r="B20" s="9" t="s">
        <v>744</v>
      </c>
    </row>
    <row r="21" spans="1:4">
      <c r="A21">
        <v>8</v>
      </c>
      <c r="B21" s="46" t="s">
        <v>745</v>
      </c>
      <c r="C21" t="s">
        <v>463</v>
      </c>
      <c r="D21">
        <v>15</v>
      </c>
    </row>
    <row r="22" spans="1:4">
      <c r="A22">
        <v>9</v>
      </c>
      <c r="B22" s="46" t="s">
        <v>746</v>
      </c>
      <c r="C22" t="s">
        <v>463</v>
      </c>
      <c r="D22">
        <v>18</v>
      </c>
    </row>
    <row r="23" spans="1:4">
      <c r="A23">
        <v>10</v>
      </c>
      <c r="B23" s="46" t="s">
        <v>747</v>
      </c>
      <c r="C23" t="s">
        <v>503</v>
      </c>
      <c r="D23">
        <v>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8"/>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748</v>
      </c>
    </row>
    <row r="2" spans="1:6">
      <c r="B2" s="44" t="s">
        <v>50</v>
      </c>
    </row>
    <row r="4" spans="1:6">
      <c r="A4" s="45" t="s">
        <v>424</v>
      </c>
      <c r="B4" s="45" t="s">
        <v>52</v>
      </c>
      <c r="C4" s="45" t="s">
        <v>425</v>
      </c>
      <c r="D4" s="45" t="s">
        <v>426</v>
      </c>
      <c r="E4" s="45" t="s">
        <v>427</v>
      </c>
      <c r="F4" s="45" t="s">
        <v>428</v>
      </c>
    </row>
    <row r="6" spans="1:6">
      <c r="B6" s="11" t="s">
        <v>749</v>
      </c>
    </row>
    <row r="8" spans="1:6" ht="27.6">
      <c r="A8">
        <v>1</v>
      </c>
      <c r="B8" s="46" t="s">
        <v>750</v>
      </c>
      <c r="C8" t="s">
        <v>445</v>
      </c>
      <c r="D8">
        <v>380</v>
      </c>
    </row>
    <row r="9" spans="1:6">
      <c r="A9">
        <v>2</v>
      </c>
      <c r="B9" s="46" t="s">
        <v>751</v>
      </c>
      <c r="C9" t="s">
        <v>463</v>
      </c>
      <c r="D9">
        <v>12</v>
      </c>
    </row>
    <row r="11" spans="1:6">
      <c r="B11" s="11" t="s">
        <v>752</v>
      </c>
    </row>
    <row r="13" spans="1:6" ht="27.6">
      <c r="A13">
        <v>3</v>
      </c>
      <c r="B13" s="46" t="s">
        <v>753</v>
      </c>
      <c r="C13" t="s">
        <v>445</v>
      </c>
      <c r="D13">
        <v>400</v>
      </c>
    </row>
    <row r="15" spans="1:6">
      <c r="B15" s="11" t="s">
        <v>754</v>
      </c>
    </row>
    <row r="17" spans="1:4" ht="41.4">
      <c r="A17">
        <v>4</v>
      </c>
      <c r="B17" s="46" t="s">
        <v>755</v>
      </c>
      <c r="C17" t="s">
        <v>445</v>
      </c>
      <c r="D17">
        <v>380</v>
      </c>
    </row>
    <row r="18" spans="1:4" ht="27.6">
      <c r="A18">
        <v>5</v>
      </c>
      <c r="B18" s="46" t="s">
        <v>756</v>
      </c>
      <c r="C18" t="s">
        <v>445</v>
      </c>
      <c r="D18">
        <v>25</v>
      </c>
    </row>
    <row r="20" spans="1:4">
      <c r="B20" s="11" t="s">
        <v>757</v>
      </c>
    </row>
    <row r="22" spans="1:4" ht="27.6">
      <c r="A22">
        <v>6</v>
      </c>
      <c r="B22" s="46" t="s">
        <v>758</v>
      </c>
      <c r="C22" t="s">
        <v>503</v>
      </c>
      <c r="D22">
        <v>250</v>
      </c>
    </row>
    <row r="23" spans="1:4" ht="27.6">
      <c r="A23">
        <v>7</v>
      </c>
      <c r="B23" s="46" t="s">
        <v>759</v>
      </c>
      <c r="C23" t="s">
        <v>503</v>
      </c>
      <c r="D23">
        <v>180</v>
      </c>
    </row>
    <row r="25" spans="1:4">
      <c r="B25" s="11" t="s">
        <v>760</v>
      </c>
    </row>
    <row r="27" spans="1:4" ht="27.6">
      <c r="A27">
        <v>8</v>
      </c>
      <c r="B27" s="46" t="s">
        <v>761</v>
      </c>
      <c r="C27" t="s">
        <v>445</v>
      </c>
      <c r="D27">
        <v>380</v>
      </c>
    </row>
    <row r="29" spans="1:4">
      <c r="B29" s="47" t="s">
        <v>581</v>
      </c>
    </row>
    <row r="30" spans="1:4">
      <c r="B30" s="9" t="s">
        <v>762</v>
      </c>
    </row>
    <row r="31" spans="1:4">
      <c r="B31" s="9" t="s">
        <v>763</v>
      </c>
    </row>
    <row r="32" spans="1:4">
      <c r="B32" s="9" t="s">
        <v>764</v>
      </c>
    </row>
    <row r="33" spans="2:2">
      <c r="B33" s="9" t="s">
        <v>765</v>
      </c>
    </row>
    <row r="34" spans="2:2">
      <c r="B34" s="9" t="s">
        <v>766</v>
      </c>
    </row>
    <row r="35" spans="2:2">
      <c r="B35" s="9" t="s">
        <v>767</v>
      </c>
    </row>
    <row r="36" spans="2:2">
      <c r="B36" s="9" t="s">
        <v>768</v>
      </c>
    </row>
    <row r="37" spans="2:2">
      <c r="B37" s="9" t="s">
        <v>769</v>
      </c>
    </row>
    <row r="38" spans="2:2">
      <c r="B38" s="9" t="s">
        <v>770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6"/>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771</v>
      </c>
    </row>
    <row r="2" spans="1:6">
      <c r="B2" s="44" t="s">
        <v>50</v>
      </c>
    </row>
    <row r="4" spans="1:6">
      <c r="A4" s="45" t="s">
        <v>424</v>
      </c>
      <c r="B4" s="45" t="s">
        <v>52</v>
      </c>
      <c r="C4" s="45" t="s">
        <v>425</v>
      </c>
      <c r="D4" s="45" t="s">
        <v>426</v>
      </c>
      <c r="E4" s="45" t="s">
        <v>427</v>
      </c>
      <c r="F4" s="45" t="s">
        <v>428</v>
      </c>
    </row>
    <row r="6" spans="1:6">
      <c r="B6" s="11" t="s">
        <v>772</v>
      </c>
    </row>
    <row r="8" spans="1:6">
      <c r="A8">
        <v>1</v>
      </c>
      <c r="B8" s="46" t="s">
        <v>773</v>
      </c>
      <c r="C8" t="s">
        <v>445</v>
      </c>
      <c r="D8">
        <v>92</v>
      </c>
    </row>
    <row r="9" spans="1:6" ht="27.6">
      <c r="A9">
        <v>2</v>
      </c>
      <c r="B9" s="46" t="s">
        <v>774</v>
      </c>
      <c r="C9" t="s">
        <v>445</v>
      </c>
      <c r="D9">
        <v>46</v>
      </c>
    </row>
    <row r="10" spans="1:6" ht="27.6">
      <c r="A10">
        <v>3</v>
      </c>
      <c r="B10" s="46" t="s">
        <v>775</v>
      </c>
      <c r="C10" t="s">
        <v>445</v>
      </c>
      <c r="D10">
        <v>46</v>
      </c>
    </row>
    <row r="12" spans="1:6">
      <c r="B12" s="11" t="s">
        <v>776</v>
      </c>
    </row>
    <row r="14" spans="1:6">
      <c r="A14">
        <v>4</v>
      </c>
      <c r="B14" s="46" t="s">
        <v>777</v>
      </c>
      <c r="C14" t="s">
        <v>503</v>
      </c>
      <c r="D14">
        <v>120</v>
      </c>
    </row>
    <row r="15" spans="1:6">
      <c r="A15">
        <v>5</v>
      </c>
      <c r="B15" s="46" t="s">
        <v>778</v>
      </c>
      <c r="C15" t="s">
        <v>503</v>
      </c>
      <c r="D15">
        <v>28</v>
      </c>
    </row>
    <row r="16" spans="1:6">
      <c r="A16">
        <v>6</v>
      </c>
      <c r="B16" s="46" t="s">
        <v>779</v>
      </c>
      <c r="C16" t="s">
        <v>463</v>
      </c>
      <c r="D16">
        <v>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5"/>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780</v>
      </c>
    </row>
    <row r="2" spans="1:6">
      <c r="B2" s="44" t="s">
        <v>50</v>
      </c>
    </row>
    <row r="4" spans="1:6">
      <c r="A4" s="45" t="s">
        <v>424</v>
      </c>
      <c r="B4" s="45" t="s">
        <v>52</v>
      </c>
      <c r="C4" s="45" t="s">
        <v>425</v>
      </c>
      <c r="D4" s="45" t="s">
        <v>426</v>
      </c>
      <c r="E4" s="45" t="s">
        <v>427</v>
      </c>
      <c r="F4" s="45" t="s">
        <v>428</v>
      </c>
    </row>
    <row r="6" spans="1:6">
      <c r="B6" s="11" t="s">
        <v>781</v>
      </c>
    </row>
    <row r="8" spans="1:6" ht="27.6">
      <c r="A8">
        <v>1</v>
      </c>
      <c r="B8" s="46" t="s">
        <v>782</v>
      </c>
      <c r="C8" t="s">
        <v>445</v>
      </c>
      <c r="D8">
        <v>231</v>
      </c>
    </row>
    <row r="9" spans="1:6">
      <c r="A9">
        <v>2</v>
      </c>
      <c r="B9" s="46" t="s">
        <v>783</v>
      </c>
      <c r="C9" t="s">
        <v>503</v>
      </c>
      <c r="D9">
        <v>66</v>
      </c>
    </row>
    <row r="10" spans="1:6">
      <c r="A10">
        <v>3</v>
      </c>
      <c r="B10" s="46" t="s">
        <v>784</v>
      </c>
      <c r="C10" t="s">
        <v>503</v>
      </c>
      <c r="D10">
        <v>200</v>
      </c>
    </row>
    <row r="12" spans="1:6">
      <c r="B12" s="11" t="s">
        <v>785</v>
      </c>
    </row>
    <row r="14" spans="1:6">
      <c r="A14">
        <v>4</v>
      </c>
      <c r="B14" s="46" t="s">
        <v>786</v>
      </c>
      <c r="C14" t="s">
        <v>445</v>
      </c>
      <c r="D14">
        <v>231</v>
      </c>
    </row>
    <row r="15" spans="1:6">
      <c r="A15">
        <v>5</v>
      </c>
      <c r="B15" s="46" t="s">
        <v>787</v>
      </c>
      <c r="C15" t="s">
        <v>445</v>
      </c>
      <c r="D15">
        <v>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8"/>
  <sheetViews>
    <sheetView workbookViewId="0"/>
  </sheetViews>
  <sheetFormatPr defaultRowHeight="14.4"/>
  <cols>
    <col min="1" max="1" width="8" customWidth="1"/>
    <col min="2" max="2" width="75" customWidth="1"/>
    <col min="3" max="3" width="8" customWidth="1"/>
    <col min="4" max="5" width="12" customWidth="1"/>
    <col min="6" max="6" width="14" customWidth="1"/>
  </cols>
  <sheetData>
    <row r="1" spans="1:6">
      <c r="A1" s="28" t="s">
        <v>589</v>
      </c>
      <c r="B1" s="28" t="s">
        <v>590</v>
      </c>
      <c r="C1" s="28" t="s">
        <v>591</v>
      </c>
      <c r="D1" s="28" t="s">
        <v>592</v>
      </c>
      <c r="E1" s="28" t="s">
        <v>593</v>
      </c>
      <c r="F1" s="28" t="s">
        <v>594</v>
      </c>
    </row>
    <row r="2" spans="1:6">
      <c r="A2" s="58"/>
      <c r="B2" s="58"/>
      <c r="C2" s="58"/>
      <c r="D2" s="58"/>
      <c r="E2" s="58"/>
      <c r="F2" s="58"/>
    </row>
    <row r="3" spans="1:6">
      <c r="A3" s="58"/>
      <c r="B3" s="58"/>
      <c r="C3" s="58"/>
      <c r="D3" s="58"/>
      <c r="E3" s="58"/>
      <c r="F3" s="58"/>
    </row>
    <row r="4" spans="1:6">
      <c r="A4" s="5"/>
      <c r="B4" s="5"/>
      <c r="C4" s="5"/>
      <c r="D4" s="5"/>
      <c r="E4" s="5"/>
      <c r="F4" s="5"/>
    </row>
    <row r="5" spans="1:6">
      <c r="A5" s="61" t="s">
        <v>788</v>
      </c>
      <c r="B5" s="58"/>
      <c r="C5" s="58"/>
      <c r="D5" s="58"/>
      <c r="E5" s="58"/>
      <c r="F5" s="58"/>
    </row>
    <row r="6" spans="1:6">
      <c r="A6" s="61" t="s">
        <v>789</v>
      </c>
      <c r="B6" s="58"/>
      <c r="C6" s="58"/>
      <c r="D6" s="58"/>
      <c r="E6" s="58"/>
      <c r="F6" s="58"/>
    </row>
    <row r="7" spans="1:6">
      <c r="A7" s="5"/>
      <c r="B7" s="5"/>
      <c r="C7" s="5"/>
      <c r="D7" s="5"/>
      <c r="E7" s="5"/>
      <c r="F7" s="5"/>
    </row>
    <row r="8" spans="1:6">
      <c r="A8" s="60" t="s">
        <v>97</v>
      </c>
      <c r="B8" s="58"/>
      <c r="C8" s="58"/>
      <c r="D8" s="58"/>
      <c r="E8" s="58"/>
      <c r="F8" s="58"/>
    </row>
    <row r="9" spans="1:6">
      <c r="A9" s="58"/>
      <c r="B9" s="58"/>
      <c r="C9" s="58"/>
      <c r="D9" s="58"/>
      <c r="E9" s="58"/>
      <c r="F9" s="58"/>
    </row>
    <row r="10" spans="1:6">
      <c r="A10" s="58"/>
      <c r="B10" s="58"/>
      <c r="C10" s="58"/>
      <c r="D10" s="58"/>
      <c r="E10" s="58"/>
      <c r="F10" s="58"/>
    </row>
    <row r="11" spans="1:6">
      <c r="A11" s="5"/>
      <c r="B11" s="5"/>
      <c r="C11" s="5"/>
      <c r="D11" s="5"/>
      <c r="E11" s="5"/>
      <c r="F11" s="5"/>
    </row>
    <row r="12" spans="1:6">
      <c r="A12" s="58"/>
      <c r="B12" s="58"/>
      <c r="C12" s="58"/>
      <c r="D12" s="58"/>
      <c r="E12" s="58"/>
      <c r="F12" s="58"/>
    </row>
    <row r="13" spans="1:6">
      <c r="A13" s="58"/>
      <c r="B13" s="58"/>
      <c r="C13" s="58"/>
      <c r="D13" s="58"/>
      <c r="E13" s="58"/>
      <c r="F13" s="58"/>
    </row>
    <row r="14" spans="1:6">
      <c r="A14" s="5"/>
      <c r="B14" s="5"/>
      <c r="C14" s="5"/>
      <c r="D14" s="5"/>
      <c r="E14" s="5"/>
      <c r="F14" s="5"/>
    </row>
    <row r="15" spans="1:6">
      <c r="A15" s="58"/>
      <c r="B15" s="58"/>
      <c r="C15" s="58"/>
      <c r="D15" s="58"/>
      <c r="E15" s="58"/>
      <c r="F15" s="58"/>
    </row>
    <row r="16" spans="1:6">
      <c r="A16" s="58"/>
      <c r="B16" s="58"/>
      <c r="C16" s="58"/>
      <c r="D16" s="58"/>
      <c r="E16" s="58"/>
      <c r="F16" s="58"/>
    </row>
    <row r="17" spans="1:6">
      <c r="A17" s="5"/>
      <c r="B17" s="5"/>
      <c r="C17" s="5"/>
      <c r="D17" s="5"/>
      <c r="E17" s="5"/>
      <c r="F17" s="5"/>
    </row>
    <row r="18" spans="1:6">
      <c r="A18" s="58"/>
      <c r="B18" s="58"/>
      <c r="C18" s="58"/>
      <c r="D18" s="58"/>
      <c r="E18" s="58"/>
      <c r="F18" s="58"/>
    </row>
    <row r="19" spans="1:6">
      <c r="A19" s="58"/>
      <c r="B19" s="58"/>
      <c r="C19" s="58"/>
      <c r="D19" s="58"/>
      <c r="E19" s="58"/>
      <c r="F19" s="58"/>
    </row>
    <row r="20" spans="1:6">
      <c r="A20" s="5"/>
      <c r="B20" s="5"/>
      <c r="C20" s="5"/>
      <c r="D20" s="5"/>
      <c r="E20" s="5"/>
      <c r="F20" s="5"/>
    </row>
    <row r="21" spans="1:6">
      <c r="A21" s="58"/>
      <c r="B21" s="58"/>
      <c r="C21" s="58"/>
      <c r="D21" s="58"/>
      <c r="E21" s="58"/>
      <c r="F21" s="58"/>
    </row>
    <row r="22" spans="1:6">
      <c r="A22" s="58"/>
      <c r="B22" s="58"/>
      <c r="C22" s="58"/>
      <c r="D22" s="58"/>
      <c r="E22" s="58"/>
      <c r="F22" s="58"/>
    </row>
    <row r="23" spans="1:6">
      <c r="A23" s="5"/>
      <c r="B23" s="5"/>
      <c r="C23" s="5"/>
      <c r="D23" s="5"/>
      <c r="E23" s="5"/>
      <c r="F23" s="5"/>
    </row>
    <row r="24" spans="1:6">
      <c r="A24" s="58"/>
      <c r="B24" s="58"/>
      <c r="C24" s="58"/>
      <c r="D24" s="58"/>
      <c r="E24" s="58"/>
      <c r="F24" s="58"/>
    </row>
    <row r="25" spans="1:6">
      <c r="A25" s="58"/>
      <c r="B25" s="58"/>
      <c r="C25" s="58"/>
      <c r="D25" s="58"/>
      <c r="E25" s="58"/>
      <c r="F25" s="58"/>
    </row>
    <row r="26" spans="1:6">
      <c r="A26" s="5"/>
      <c r="B26" s="5"/>
      <c r="C26" s="5"/>
      <c r="D26" s="5"/>
      <c r="E26" s="5"/>
      <c r="F26" s="5"/>
    </row>
    <row r="27" spans="1:6">
      <c r="A27" s="61" t="s">
        <v>790</v>
      </c>
      <c r="B27" s="58"/>
      <c r="C27" s="58"/>
      <c r="D27" s="58"/>
      <c r="E27" s="58"/>
      <c r="F27" s="58"/>
    </row>
    <row r="28" spans="1:6">
      <c r="A28" s="5"/>
      <c r="B28" s="5"/>
      <c r="C28" s="5"/>
      <c r="D28" s="5"/>
      <c r="E28" s="5"/>
      <c r="F28" s="5"/>
    </row>
    <row r="29" spans="1:6">
      <c r="A29" s="60" t="s">
        <v>791</v>
      </c>
      <c r="B29" s="58"/>
      <c r="C29" s="58"/>
      <c r="D29" s="58"/>
      <c r="E29" s="58"/>
      <c r="F29" s="58"/>
    </row>
    <row r="30" spans="1:6" ht="28.8">
      <c r="A30" s="29" t="s">
        <v>475</v>
      </c>
      <c r="B30" s="30" t="s">
        <v>792</v>
      </c>
      <c r="C30" s="31" t="s">
        <v>445</v>
      </c>
      <c r="D30" s="32">
        <v>45</v>
      </c>
      <c r="E30" s="32"/>
      <c r="F30" s="32">
        <f>D30*E30</f>
        <v>0</v>
      </c>
    </row>
    <row r="31" spans="1:6">
      <c r="A31" s="5"/>
      <c r="B31" s="5"/>
      <c r="C31" s="5"/>
      <c r="D31" s="5"/>
      <c r="E31" s="5"/>
      <c r="F31" s="5"/>
    </row>
    <row r="32" spans="1:6" ht="28.8">
      <c r="A32" s="29" t="s">
        <v>478</v>
      </c>
      <c r="B32" s="30" t="s">
        <v>793</v>
      </c>
      <c r="C32" s="31" t="s">
        <v>445</v>
      </c>
      <c r="D32" s="32">
        <v>380</v>
      </c>
      <c r="E32" s="32"/>
      <c r="F32" s="32">
        <f>D32*E32</f>
        <v>0</v>
      </c>
    </row>
    <row r="33" spans="1:6">
      <c r="A33" s="5"/>
      <c r="B33" s="5"/>
      <c r="C33" s="5"/>
      <c r="D33" s="5"/>
      <c r="E33" s="5"/>
      <c r="F33" s="5"/>
    </row>
    <row r="34" spans="1:6">
      <c r="A34" s="60" t="s">
        <v>794</v>
      </c>
      <c r="B34" s="58"/>
      <c r="C34" s="58"/>
      <c r="D34" s="58"/>
      <c r="E34" s="58"/>
      <c r="F34" s="58"/>
    </row>
    <row r="35" spans="1:6" ht="28.8">
      <c r="A35" s="29" t="s">
        <v>481</v>
      </c>
      <c r="B35" s="30" t="s">
        <v>795</v>
      </c>
      <c r="C35" s="31" t="s">
        <v>445</v>
      </c>
      <c r="D35" s="32">
        <v>45</v>
      </c>
      <c r="E35" s="32"/>
      <c r="F35" s="32">
        <f>D35*E35</f>
        <v>0</v>
      </c>
    </row>
    <row r="36" spans="1:6">
      <c r="A36" s="5"/>
      <c r="B36" s="5"/>
      <c r="C36" s="5"/>
      <c r="D36" s="5"/>
      <c r="E36" s="5"/>
      <c r="F36" s="5"/>
    </row>
    <row r="37" spans="1:6">
      <c r="A37" s="60" t="s">
        <v>796</v>
      </c>
      <c r="B37" s="58"/>
      <c r="C37" s="58"/>
      <c r="D37" s="58"/>
      <c r="E37" s="58"/>
      <c r="F37" s="58"/>
    </row>
    <row r="38" spans="1:6" ht="28.8">
      <c r="A38" s="29" t="s">
        <v>484</v>
      </c>
      <c r="B38" s="30" t="s">
        <v>797</v>
      </c>
      <c r="C38" s="31" t="s">
        <v>445</v>
      </c>
      <c r="D38" s="32">
        <v>335</v>
      </c>
      <c r="E38" s="32"/>
      <c r="F38" s="32">
        <f>D38*E38</f>
        <v>0</v>
      </c>
    </row>
    <row r="39" spans="1:6">
      <c r="A39" s="5"/>
      <c r="B39" s="5"/>
      <c r="C39" s="5"/>
      <c r="D39" s="5"/>
      <c r="E39" s="5"/>
      <c r="F39" s="5"/>
    </row>
    <row r="40" spans="1:6" ht="28.8">
      <c r="A40" s="29" t="s">
        <v>487</v>
      </c>
      <c r="B40" s="30" t="s">
        <v>798</v>
      </c>
      <c r="C40" s="31" t="s">
        <v>445</v>
      </c>
      <c r="D40" s="32">
        <v>45</v>
      </c>
      <c r="E40" s="32"/>
      <c r="F40" s="32">
        <f>D40*E40</f>
        <v>0</v>
      </c>
    </row>
    <row r="41" spans="1:6">
      <c r="A41" s="5"/>
      <c r="B41" s="5"/>
      <c r="C41" s="5"/>
      <c r="D41" s="5"/>
      <c r="E41" s="5"/>
      <c r="F41" s="5"/>
    </row>
    <row r="42" spans="1:6" ht="28.8">
      <c r="A42" s="29" t="s">
        <v>491</v>
      </c>
      <c r="B42" s="30" t="s">
        <v>799</v>
      </c>
      <c r="C42" s="31" t="s">
        <v>445</v>
      </c>
      <c r="D42" s="32">
        <v>35</v>
      </c>
      <c r="E42" s="32"/>
      <c r="F42" s="32">
        <f>D42*E42</f>
        <v>0</v>
      </c>
    </row>
    <row r="43" spans="1:6">
      <c r="A43" s="5"/>
      <c r="B43" s="5"/>
      <c r="C43" s="5"/>
      <c r="D43" s="5"/>
      <c r="E43" s="5"/>
      <c r="F43" s="5"/>
    </row>
    <row r="44" spans="1:6">
      <c r="A44" s="5"/>
      <c r="B44" s="33" t="s">
        <v>611</v>
      </c>
      <c r="C44" s="5"/>
      <c r="D44" s="5"/>
      <c r="E44" s="5"/>
      <c r="F44" s="34">
        <f>SUBTOTAL(9,F28:F43)</f>
        <v>0</v>
      </c>
    </row>
    <row r="45" spans="1:6">
      <c r="A45" s="5"/>
      <c r="B45" s="5"/>
      <c r="C45" s="5"/>
      <c r="D45" s="5"/>
      <c r="E45" s="5"/>
      <c r="F45" s="5"/>
    </row>
    <row r="46" spans="1:6">
      <c r="A46" s="61" t="s">
        <v>800</v>
      </c>
      <c r="B46" s="58"/>
      <c r="C46" s="58"/>
      <c r="D46" s="58"/>
      <c r="E46" s="58"/>
      <c r="F46" s="58"/>
    </row>
    <row r="47" spans="1:6">
      <c r="A47" s="5"/>
      <c r="B47" s="5"/>
      <c r="C47" s="5"/>
      <c r="D47" s="5"/>
      <c r="E47" s="5"/>
      <c r="F47" s="5"/>
    </row>
    <row r="48" spans="1:6">
      <c r="A48" s="60" t="s">
        <v>801</v>
      </c>
      <c r="B48" s="58"/>
      <c r="C48" s="58"/>
      <c r="D48" s="58"/>
      <c r="E48" s="58"/>
      <c r="F48" s="58"/>
    </row>
    <row r="49" spans="1:6" ht="57.6">
      <c r="A49" s="29" t="s">
        <v>497</v>
      </c>
      <c r="B49" s="30" t="s">
        <v>802</v>
      </c>
      <c r="C49" s="31" t="s">
        <v>445</v>
      </c>
      <c r="D49" s="32">
        <v>350</v>
      </c>
      <c r="E49" s="32"/>
      <c r="F49" s="32">
        <f>D49*E49</f>
        <v>0</v>
      </c>
    </row>
    <row r="50" spans="1:6">
      <c r="A50" s="5"/>
      <c r="B50" s="5"/>
      <c r="C50" s="5"/>
      <c r="D50" s="5"/>
      <c r="E50" s="5"/>
      <c r="F50" s="5"/>
    </row>
    <row r="51" spans="1:6" ht="57.6">
      <c r="A51" s="29" t="s">
        <v>500</v>
      </c>
      <c r="B51" s="30" t="s">
        <v>803</v>
      </c>
      <c r="C51" s="31" t="s">
        <v>445</v>
      </c>
      <c r="D51" s="32">
        <v>30</v>
      </c>
      <c r="E51" s="32"/>
      <c r="F51" s="32">
        <f>D51*E51</f>
        <v>0</v>
      </c>
    </row>
    <row r="52" spans="1:6">
      <c r="A52" s="5"/>
      <c r="B52" s="5"/>
      <c r="C52" s="5"/>
      <c r="D52" s="5"/>
      <c r="E52" s="5"/>
      <c r="F52" s="5"/>
    </row>
    <row r="53" spans="1:6">
      <c r="A53" s="60" t="s">
        <v>804</v>
      </c>
      <c r="B53" s="58"/>
      <c r="C53" s="58"/>
      <c r="D53" s="58"/>
      <c r="E53" s="58"/>
      <c r="F53" s="58"/>
    </row>
    <row r="54" spans="1:6" ht="57.6">
      <c r="A54" s="29" t="s">
        <v>504</v>
      </c>
      <c r="B54" s="30" t="s">
        <v>805</v>
      </c>
      <c r="C54" s="31" t="s">
        <v>445</v>
      </c>
      <c r="D54" s="32">
        <v>30</v>
      </c>
      <c r="E54" s="32"/>
      <c r="F54" s="32">
        <f>D54*E54</f>
        <v>0</v>
      </c>
    </row>
    <row r="55" spans="1:6">
      <c r="A55" s="5"/>
      <c r="B55" s="5"/>
      <c r="C55" s="5"/>
      <c r="D55" s="5"/>
      <c r="E55" s="5"/>
      <c r="F55" s="5"/>
    </row>
    <row r="56" spans="1:6">
      <c r="A56" s="60" t="s">
        <v>806</v>
      </c>
      <c r="B56" s="58"/>
      <c r="C56" s="58"/>
      <c r="D56" s="58"/>
      <c r="E56" s="58"/>
      <c r="F56" s="58"/>
    </row>
    <row r="57" spans="1:6">
      <c r="A57" s="29" t="s">
        <v>508</v>
      </c>
      <c r="B57" s="30" t="s">
        <v>807</v>
      </c>
      <c r="C57" s="31" t="s">
        <v>463</v>
      </c>
      <c r="D57" s="32">
        <v>25</v>
      </c>
      <c r="E57" s="32"/>
      <c r="F57" s="32">
        <f>D57*E57</f>
        <v>0</v>
      </c>
    </row>
    <row r="58" spans="1:6">
      <c r="A58" s="5"/>
      <c r="B58" s="5"/>
      <c r="C58" s="5"/>
      <c r="D58" s="5"/>
      <c r="E58" s="5"/>
      <c r="F58" s="5"/>
    </row>
    <row r="59" spans="1:6" ht="28.8">
      <c r="A59" s="29" t="s">
        <v>511</v>
      </c>
      <c r="B59" s="30" t="s">
        <v>808</v>
      </c>
      <c r="C59" s="31" t="s">
        <v>503</v>
      </c>
      <c r="D59" s="32">
        <v>12</v>
      </c>
      <c r="E59" s="32"/>
      <c r="F59" s="32">
        <f>D59*E59</f>
        <v>0</v>
      </c>
    </row>
    <row r="60" spans="1:6">
      <c r="A60" s="5"/>
      <c r="B60" s="5"/>
      <c r="C60" s="5"/>
      <c r="D60" s="5"/>
      <c r="E60" s="5"/>
      <c r="F60" s="5"/>
    </row>
    <row r="61" spans="1:6" ht="28.8">
      <c r="A61" s="29" t="s">
        <v>583</v>
      </c>
      <c r="B61" s="30" t="s">
        <v>809</v>
      </c>
      <c r="C61" s="31" t="s">
        <v>503</v>
      </c>
      <c r="D61" s="32">
        <v>85</v>
      </c>
      <c r="E61" s="32"/>
      <c r="F61" s="32">
        <f>D61*E61</f>
        <v>0</v>
      </c>
    </row>
    <row r="62" spans="1:6">
      <c r="A62" s="5"/>
      <c r="B62" s="5"/>
      <c r="C62" s="5"/>
      <c r="D62" s="5"/>
      <c r="E62" s="5"/>
      <c r="F62" s="5"/>
    </row>
    <row r="63" spans="1:6">
      <c r="A63" s="5"/>
      <c r="B63" s="33" t="s">
        <v>611</v>
      </c>
      <c r="C63" s="5"/>
      <c r="D63" s="5"/>
      <c r="E63" s="5"/>
      <c r="F63" s="34">
        <f>SUBTOTAL(9,F47:F62)</f>
        <v>0</v>
      </c>
    </row>
    <row r="64" spans="1:6">
      <c r="A64" s="5"/>
      <c r="B64" s="5"/>
      <c r="C64" s="5"/>
      <c r="D64" s="5"/>
      <c r="E64" s="5"/>
      <c r="F64" s="5"/>
    </row>
    <row r="65" spans="1:6">
      <c r="A65" s="61" t="s">
        <v>810</v>
      </c>
      <c r="B65" s="58"/>
      <c r="C65" s="58"/>
      <c r="D65" s="58"/>
      <c r="E65" s="58"/>
      <c r="F65" s="58"/>
    </row>
    <row r="66" spans="1:6">
      <c r="A66" s="5"/>
      <c r="B66" s="5"/>
      <c r="C66" s="5"/>
      <c r="D66" s="5"/>
      <c r="E66" s="5"/>
      <c r="F66" s="5"/>
    </row>
    <row r="67" spans="1:6">
      <c r="A67" s="60" t="s">
        <v>811</v>
      </c>
      <c r="B67" s="58"/>
      <c r="C67" s="58"/>
      <c r="D67" s="58"/>
      <c r="E67" s="58"/>
      <c r="F67" s="58"/>
    </row>
    <row r="68" spans="1:6" ht="43.2">
      <c r="A68" s="29" t="s">
        <v>517</v>
      </c>
      <c r="B68" s="30" t="s">
        <v>812</v>
      </c>
      <c r="C68" s="31" t="s">
        <v>503</v>
      </c>
      <c r="D68" s="32">
        <v>95</v>
      </c>
      <c r="E68" s="32"/>
      <c r="F68" s="32">
        <f>D68*E68</f>
        <v>0</v>
      </c>
    </row>
    <row r="69" spans="1:6">
      <c r="A69" s="5"/>
      <c r="B69" s="5"/>
      <c r="C69" s="5"/>
      <c r="D69" s="5"/>
      <c r="E69" s="5"/>
      <c r="F69" s="5"/>
    </row>
    <row r="70" spans="1:6">
      <c r="A70" s="60" t="s">
        <v>813</v>
      </c>
      <c r="B70" s="58"/>
      <c r="C70" s="58"/>
      <c r="D70" s="58"/>
      <c r="E70" s="58"/>
      <c r="F70" s="58"/>
    </row>
    <row r="71" spans="1:6" ht="43.2">
      <c r="A71" s="29" t="s">
        <v>520</v>
      </c>
      <c r="B71" s="30" t="s">
        <v>814</v>
      </c>
      <c r="C71" s="31" t="s">
        <v>503</v>
      </c>
      <c r="D71" s="32">
        <v>125</v>
      </c>
      <c r="E71" s="32"/>
      <c r="F71" s="32">
        <f>D71*E71</f>
        <v>0</v>
      </c>
    </row>
    <row r="72" spans="1:6">
      <c r="A72" s="5"/>
      <c r="B72" s="5"/>
      <c r="C72" s="5"/>
      <c r="D72" s="5"/>
      <c r="E72" s="5"/>
      <c r="F72" s="5"/>
    </row>
    <row r="73" spans="1:6">
      <c r="A73" s="5"/>
      <c r="B73" s="33" t="s">
        <v>611</v>
      </c>
      <c r="C73" s="5"/>
      <c r="D73" s="5"/>
      <c r="E73" s="5"/>
      <c r="F73" s="34">
        <f>SUBTOTAL(9,F66:F72)</f>
        <v>0</v>
      </c>
    </row>
    <row r="74" spans="1:6">
      <c r="A74" s="5"/>
      <c r="B74" s="5"/>
      <c r="C74" s="5"/>
      <c r="D74" s="5"/>
      <c r="E74" s="5"/>
      <c r="F74" s="5"/>
    </row>
    <row r="75" spans="1:6">
      <c r="A75" s="61" t="s">
        <v>815</v>
      </c>
      <c r="B75" s="58"/>
      <c r="C75" s="58"/>
      <c r="D75" s="58"/>
      <c r="E75" s="58"/>
      <c r="F75" s="58"/>
    </row>
    <row r="76" spans="1:6">
      <c r="A76" s="5"/>
      <c r="B76" s="5"/>
      <c r="C76" s="5"/>
      <c r="D76" s="5"/>
      <c r="E76" s="5"/>
      <c r="F76" s="5"/>
    </row>
    <row r="77" spans="1:6">
      <c r="A77" s="60" t="s">
        <v>816</v>
      </c>
      <c r="B77" s="58"/>
      <c r="C77" s="58"/>
      <c r="D77" s="58"/>
      <c r="E77" s="58"/>
      <c r="F77" s="58"/>
    </row>
    <row r="78" spans="1:6" ht="28.8">
      <c r="A78" s="29" t="s">
        <v>531</v>
      </c>
      <c r="B78" s="30" t="s">
        <v>817</v>
      </c>
      <c r="C78" s="31" t="s">
        <v>445</v>
      </c>
      <c r="D78" s="32">
        <v>80</v>
      </c>
      <c r="E78" s="32"/>
      <c r="F78" s="32">
        <f>D78*E78</f>
        <v>0</v>
      </c>
    </row>
    <row r="79" spans="1:6">
      <c r="A79" s="5"/>
      <c r="B79" s="5"/>
      <c r="C79" s="5"/>
      <c r="D79" s="5"/>
      <c r="E79" s="5"/>
      <c r="F79" s="5"/>
    </row>
    <row r="80" spans="1:6" ht="28.8">
      <c r="A80" s="29" t="s">
        <v>534</v>
      </c>
      <c r="B80" s="30" t="s">
        <v>818</v>
      </c>
      <c r="C80" s="31" t="s">
        <v>445</v>
      </c>
      <c r="D80" s="32">
        <v>80</v>
      </c>
      <c r="E80" s="32"/>
      <c r="F80" s="32">
        <f>D80*E80</f>
        <v>0</v>
      </c>
    </row>
    <row r="81" spans="1:6">
      <c r="A81" s="5"/>
      <c r="B81" s="5"/>
      <c r="C81" s="5"/>
      <c r="D81" s="5"/>
      <c r="E81" s="5"/>
      <c r="F81" s="5"/>
    </row>
    <row r="82" spans="1:6">
      <c r="A82" s="29" t="s">
        <v>537</v>
      </c>
      <c r="B82" s="30" t="s">
        <v>819</v>
      </c>
      <c r="C82" s="31" t="s">
        <v>445</v>
      </c>
      <c r="D82" s="32">
        <v>80</v>
      </c>
      <c r="E82" s="32"/>
      <c r="F82" s="32">
        <f>D82*E82</f>
        <v>0</v>
      </c>
    </row>
    <row r="83" spans="1:6">
      <c r="A83" s="5"/>
      <c r="B83" s="5"/>
      <c r="C83" s="5"/>
      <c r="D83" s="5"/>
      <c r="E83" s="5"/>
      <c r="F83" s="5"/>
    </row>
    <row r="84" spans="1:6">
      <c r="A84" s="60" t="s">
        <v>820</v>
      </c>
      <c r="B84" s="58"/>
      <c r="C84" s="58"/>
      <c r="D84" s="58"/>
      <c r="E84" s="58"/>
      <c r="F84" s="58"/>
    </row>
    <row r="85" spans="1:6" ht="28.8">
      <c r="A85" s="29" t="s">
        <v>539</v>
      </c>
      <c r="B85" s="30" t="s">
        <v>821</v>
      </c>
      <c r="C85" s="31" t="s">
        <v>445</v>
      </c>
      <c r="D85" s="32">
        <v>80</v>
      </c>
      <c r="E85" s="32"/>
      <c r="F85" s="32">
        <f>D85*E85</f>
        <v>0</v>
      </c>
    </row>
    <row r="86" spans="1:6">
      <c r="A86" s="5"/>
      <c r="B86" s="5"/>
      <c r="C86" s="5"/>
      <c r="D86" s="5"/>
      <c r="E86" s="5"/>
      <c r="F86" s="5"/>
    </row>
    <row r="87" spans="1:6">
      <c r="A87" s="60" t="s">
        <v>822</v>
      </c>
      <c r="B87" s="58"/>
      <c r="C87" s="58"/>
      <c r="D87" s="58"/>
      <c r="E87" s="58"/>
      <c r="F87" s="58"/>
    </row>
    <row r="88" spans="1:6" ht="28.8">
      <c r="A88" s="29" t="s">
        <v>823</v>
      </c>
      <c r="B88" s="30" t="s">
        <v>824</v>
      </c>
      <c r="C88" s="31" t="s">
        <v>503</v>
      </c>
      <c r="D88" s="32">
        <v>35</v>
      </c>
      <c r="E88" s="32"/>
      <c r="F88" s="32">
        <f>D88*E88</f>
        <v>0</v>
      </c>
    </row>
    <row r="89" spans="1:6">
      <c r="A89" s="5"/>
      <c r="B89" s="5"/>
      <c r="C89" s="5"/>
      <c r="D89" s="5"/>
      <c r="E89" s="5"/>
      <c r="F89" s="5"/>
    </row>
    <row r="90" spans="1:6">
      <c r="A90" s="5"/>
      <c r="B90" s="33" t="s">
        <v>611</v>
      </c>
      <c r="C90" s="5"/>
      <c r="D90" s="5"/>
      <c r="E90" s="5"/>
      <c r="F90" s="34">
        <f>SUBTOTAL(9,F74:F89)</f>
        <v>0</v>
      </c>
    </row>
    <row r="91" spans="1:6">
      <c r="A91" s="5"/>
      <c r="B91" s="5"/>
      <c r="C91" s="5"/>
      <c r="D91" s="5"/>
      <c r="E91" s="5"/>
      <c r="F91" s="5"/>
    </row>
    <row r="92" spans="1:6">
      <c r="A92" s="5"/>
      <c r="B92" s="5"/>
      <c r="C92" s="5"/>
      <c r="D92" s="5"/>
      <c r="E92" s="5"/>
      <c r="F92" s="5"/>
    </row>
    <row r="93" spans="1:6">
      <c r="A93" s="61" t="s">
        <v>825</v>
      </c>
      <c r="B93" s="58"/>
      <c r="C93" s="58"/>
      <c r="D93" s="58"/>
      <c r="E93" s="58"/>
      <c r="F93" s="58"/>
    </row>
    <row r="94" spans="1:6">
      <c r="A94" s="5"/>
      <c r="B94" s="5"/>
      <c r="C94" s="5"/>
      <c r="D94" s="5"/>
      <c r="E94" s="5"/>
      <c r="F94" s="5"/>
    </row>
    <row r="95" spans="1:6">
      <c r="A95" s="5"/>
      <c r="B95" s="35" t="s">
        <v>790</v>
      </c>
      <c r="C95" s="5"/>
      <c r="D95" s="5"/>
      <c r="E95" s="5"/>
      <c r="F95" s="36">
        <f>F44</f>
        <v>0</v>
      </c>
    </row>
    <row r="96" spans="1:6">
      <c r="A96" s="5"/>
      <c r="B96" s="35" t="s">
        <v>800</v>
      </c>
      <c r="C96" s="5"/>
      <c r="D96" s="5"/>
      <c r="E96" s="5"/>
      <c r="F96" s="36">
        <f>F63</f>
        <v>0</v>
      </c>
    </row>
    <row r="97" spans="1:6">
      <c r="A97" s="5"/>
      <c r="B97" s="35" t="s">
        <v>810</v>
      </c>
      <c r="C97" s="5"/>
      <c r="D97" s="5"/>
      <c r="E97" s="5"/>
      <c r="F97" s="36">
        <f>F71</f>
        <v>0</v>
      </c>
    </row>
    <row r="98" spans="1:6">
      <c r="A98" s="5"/>
      <c r="B98" s="35" t="s">
        <v>815</v>
      </c>
      <c r="C98" s="5"/>
      <c r="D98" s="5"/>
      <c r="E98" s="5"/>
      <c r="F98" s="36">
        <f>F88</f>
        <v>0</v>
      </c>
    </row>
    <row r="99" spans="1:6">
      <c r="A99" s="5"/>
      <c r="B99" s="5"/>
      <c r="C99" s="5"/>
      <c r="D99" s="5"/>
      <c r="E99" s="5"/>
      <c r="F99" s="5"/>
    </row>
    <row r="100" spans="1:6">
      <c r="A100" s="5"/>
      <c r="B100" s="37" t="s">
        <v>657</v>
      </c>
      <c r="C100" s="5"/>
      <c r="D100" s="5"/>
      <c r="E100" s="5"/>
      <c r="F100" s="38">
        <f>SUM(F92:F95)</f>
        <v>0</v>
      </c>
    </row>
    <row r="103" spans="1:6">
      <c r="A103" s="62" t="s">
        <v>826</v>
      </c>
      <c r="B103" s="58"/>
      <c r="C103" s="58"/>
      <c r="D103" s="58"/>
      <c r="E103" s="58"/>
      <c r="F103" s="58"/>
    </row>
    <row r="104" spans="1:6">
      <c r="A104" s="58"/>
      <c r="B104" s="58"/>
      <c r="C104" s="58"/>
      <c r="D104" s="58"/>
      <c r="E104" s="58"/>
      <c r="F104" s="58"/>
    </row>
    <row r="105" spans="1:6">
      <c r="A105" s="58"/>
      <c r="B105" s="58"/>
      <c r="C105" s="58"/>
      <c r="D105" s="58"/>
      <c r="E105" s="58"/>
      <c r="F105" s="58"/>
    </row>
    <row r="106" spans="1:6">
      <c r="A106" s="58"/>
      <c r="B106" s="58"/>
      <c r="C106" s="58"/>
      <c r="D106" s="58"/>
      <c r="E106" s="58"/>
      <c r="F106" s="58"/>
    </row>
    <row r="107" spans="1:6">
      <c r="A107" s="58"/>
      <c r="B107" s="58"/>
      <c r="C107" s="58"/>
      <c r="D107" s="58"/>
      <c r="E107" s="58"/>
      <c r="F107" s="58"/>
    </row>
    <row r="108" spans="1:6">
      <c r="A108" s="58"/>
      <c r="B108" s="58"/>
      <c r="C108" s="58"/>
      <c r="D108" s="58"/>
      <c r="E108" s="58"/>
      <c r="F108" s="58"/>
    </row>
  </sheetData>
  <mergeCells count="39">
    <mergeCell ref="A2:F2"/>
    <mergeCell ref="A5:F5"/>
    <mergeCell ref="A8:F8"/>
    <mergeCell ref="A106:F106"/>
    <mergeCell ref="A22:F22"/>
    <mergeCell ref="A25:F25"/>
    <mergeCell ref="A53:F53"/>
    <mergeCell ref="A29:F29"/>
    <mergeCell ref="A10:F10"/>
    <mergeCell ref="A93:F93"/>
    <mergeCell ref="A13:F13"/>
    <mergeCell ref="A19:F19"/>
    <mergeCell ref="A9:F9"/>
    <mergeCell ref="A67:F67"/>
    <mergeCell ref="A34:F34"/>
    <mergeCell ref="A48:F48"/>
    <mergeCell ref="A12:F12"/>
    <mergeCell ref="A18:F18"/>
    <mergeCell ref="A56:F56"/>
    <mergeCell ref="A3:F3"/>
    <mergeCell ref="A21:F21"/>
    <mergeCell ref="A15:F15"/>
    <mergeCell ref="A24:F24"/>
    <mergeCell ref="A6:F6"/>
    <mergeCell ref="A16:F16"/>
    <mergeCell ref="A46:F46"/>
    <mergeCell ref="A84:F84"/>
    <mergeCell ref="A108:F108"/>
    <mergeCell ref="A37:F37"/>
    <mergeCell ref="A75:F75"/>
    <mergeCell ref="A27:F27"/>
    <mergeCell ref="A105:F105"/>
    <mergeCell ref="A104:F104"/>
    <mergeCell ref="A77:F77"/>
    <mergeCell ref="A107:F107"/>
    <mergeCell ref="A103:F103"/>
    <mergeCell ref="A70:F70"/>
    <mergeCell ref="A87:F87"/>
    <mergeCell ref="A65:F6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1"/>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827</v>
      </c>
    </row>
    <row r="2" spans="1:6">
      <c r="B2" s="44" t="s">
        <v>50</v>
      </c>
    </row>
    <row r="4" spans="1:6">
      <c r="A4" s="45" t="s">
        <v>424</v>
      </c>
      <c r="B4" s="45" t="s">
        <v>52</v>
      </c>
      <c r="C4" s="45" t="s">
        <v>425</v>
      </c>
      <c r="D4" s="45" t="s">
        <v>426</v>
      </c>
      <c r="E4" s="45" t="s">
        <v>427</v>
      </c>
      <c r="F4" s="45" t="s">
        <v>428</v>
      </c>
    </row>
    <row r="6" spans="1:6">
      <c r="B6" s="11" t="s">
        <v>828</v>
      </c>
    </row>
    <row r="8" spans="1:6" ht="27.6">
      <c r="A8">
        <v>1</v>
      </c>
      <c r="B8" s="46" t="s">
        <v>829</v>
      </c>
      <c r="C8" t="s">
        <v>445</v>
      </c>
      <c r="D8">
        <v>810.4</v>
      </c>
    </row>
    <row r="9" spans="1:6">
      <c r="A9">
        <v>2</v>
      </c>
      <c r="B9" s="46" t="s">
        <v>830</v>
      </c>
      <c r="C9" t="s">
        <v>445</v>
      </c>
      <c r="D9">
        <v>143</v>
      </c>
    </row>
    <row r="10" spans="1:6">
      <c r="A10">
        <v>3</v>
      </c>
      <c r="B10" s="46" t="s">
        <v>831</v>
      </c>
      <c r="C10" t="s">
        <v>503</v>
      </c>
      <c r="D10">
        <v>300</v>
      </c>
    </row>
    <row r="11" spans="1:6">
      <c r="A11">
        <v>4</v>
      </c>
      <c r="B11" s="46" t="s">
        <v>832</v>
      </c>
      <c r="C11" t="s">
        <v>503</v>
      </c>
      <c r="D11">
        <v>150</v>
      </c>
    </row>
    <row r="12" spans="1:6">
      <c r="A12">
        <v>5</v>
      </c>
      <c r="B12" s="46" t="s">
        <v>833</v>
      </c>
      <c r="C12" t="s">
        <v>503</v>
      </c>
      <c r="D12">
        <v>80</v>
      </c>
    </row>
    <row r="14" spans="1:6">
      <c r="B14" s="11" t="s">
        <v>834</v>
      </c>
    </row>
    <row r="16" spans="1:6" ht="27.6">
      <c r="A16">
        <v>6</v>
      </c>
      <c r="B16" s="46" t="s">
        <v>835</v>
      </c>
      <c r="C16" t="s">
        <v>445</v>
      </c>
      <c r="D16">
        <v>953.4</v>
      </c>
    </row>
    <row r="17" spans="1:4">
      <c r="A17">
        <v>7</v>
      </c>
      <c r="B17" s="46" t="s">
        <v>836</v>
      </c>
      <c r="C17" t="s">
        <v>445</v>
      </c>
      <c r="D17">
        <v>800</v>
      </c>
    </row>
    <row r="18" spans="1:4" ht="27.6">
      <c r="A18">
        <v>8</v>
      </c>
      <c r="B18" s="46" t="s">
        <v>837</v>
      </c>
      <c r="C18" t="s">
        <v>445</v>
      </c>
      <c r="D18">
        <v>100</v>
      </c>
    </row>
    <row r="20" spans="1:4">
      <c r="B20" s="11" t="s">
        <v>838</v>
      </c>
    </row>
    <row r="22" spans="1:4" ht="41.4">
      <c r="A22">
        <v>9</v>
      </c>
      <c r="B22" s="46" t="s">
        <v>839</v>
      </c>
      <c r="C22" t="s">
        <v>445</v>
      </c>
      <c r="D22">
        <v>160</v>
      </c>
    </row>
    <row r="23" spans="1:4" ht="27.6">
      <c r="A23">
        <v>10</v>
      </c>
      <c r="B23" s="46" t="s">
        <v>840</v>
      </c>
      <c r="C23" t="s">
        <v>445</v>
      </c>
      <c r="D23">
        <v>12</v>
      </c>
    </row>
    <row r="25" spans="1:4">
      <c r="B25" s="11" t="s">
        <v>841</v>
      </c>
    </row>
    <row r="27" spans="1:4" ht="27.6">
      <c r="A27">
        <v>11</v>
      </c>
      <c r="B27" s="46" t="s">
        <v>842</v>
      </c>
      <c r="C27" t="s">
        <v>445</v>
      </c>
      <c r="D27">
        <v>45</v>
      </c>
    </row>
    <row r="28" spans="1:4">
      <c r="A28">
        <v>12</v>
      </c>
      <c r="B28" s="46" t="s">
        <v>843</v>
      </c>
      <c r="C28" t="s">
        <v>445</v>
      </c>
      <c r="D28">
        <v>12</v>
      </c>
    </row>
    <row r="29" spans="1:4">
      <c r="A29">
        <v>13</v>
      </c>
      <c r="B29" s="46" t="s">
        <v>844</v>
      </c>
      <c r="C29" t="s">
        <v>445</v>
      </c>
      <c r="D29">
        <v>85</v>
      </c>
    </row>
    <row r="30" spans="1:4">
      <c r="A30">
        <v>14</v>
      </c>
      <c r="B30" s="46" t="s">
        <v>845</v>
      </c>
      <c r="C30" t="s">
        <v>445</v>
      </c>
      <c r="D30">
        <v>18</v>
      </c>
    </row>
    <row r="33" spans="2:2">
      <c r="B33" s="50" t="s">
        <v>725</v>
      </c>
    </row>
    <row r="34" spans="2:2">
      <c r="B34" s="9" t="s">
        <v>846</v>
      </c>
    </row>
    <row r="35" spans="2:2">
      <c r="B35" s="9" t="s">
        <v>847</v>
      </c>
    </row>
    <row r="36" spans="2:2">
      <c r="B36" s="9" t="s">
        <v>848</v>
      </c>
    </row>
    <row r="37" spans="2:2">
      <c r="B37" s="9" t="s">
        <v>849</v>
      </c>
    </row>
    <row r="38" spans="2:2">
      <c r="B38" s="9" t="s">
        <v>850</v>
      </c>
    </row>
    <row r="39" spans="2:2">
      <c r="B39" s="9" t="s">
        <v>851</v>
      </c>
    </row>
    <row r="40" spans="2:2">
      <c r="B40" s="9" t="s">
        <v>852</v>
      </c>
    </row>
    <row r="41" spans="2:2">
      <c r="B41" s="9" t="s">
        <v>853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854</v>
      </c>
    </row>
    <row r="2" spans="1:6">
      <c r="B2" s="44" t="s">
        <v>50</v>
      </c>
    </row>
    <row r="4" spans="1:6">
      <c r="A4" s="45" t="s">
        <v>424</v>
      </c>
      <c r="B4" s="45" t="s">
        <v>52</v>
      </c>
      <c r="C4" s="45" t="s">
        <v>425</v>
      </c>
      <c r="D4" s="45" t="s">
        <v>426</v>
      </c>
      <c r="E4" s="45" t="s">
        <v>427</v>
      </c>
      <c r="F4" s="45" t="s">
        <v>428</v>
      </c>
    </row>
    <row r="6" spans="1:6">
      <c r="B6" s="11" t="s">
        <v>855</v>
      </c>
    </row>
    <row r="8" spans="1:6" ht="41.4">
      <c r="A8">
        <v>1</v>
      </c>
      <c r="B8" s="46" t="s">
        <v>856</v>
      </c>
      <c r="C8" t="s">
        <v>445</v>
      </c>
      <c r="D8">
        <v>600</v>
      </c>
    </row>
    <row r="9" spans="1:6" ht="27.6">
      <c r="A9">
        <v>2</v>
      </c>
      <c r="B9" s="46" t="s">
        <v>857</v>
      </c>
      <c r="C9" t="s">
        <v>445</v>
      </c>
      <c r="D9">
        <v>600</v>
      </c>
    </row>
    <row r="10" spans="1:6" ht="27.6">
      <c r="A10">
        <v>3</v>
      </c>
      <c r="B10" s="46" t="s">
        <v>858</v>
      </c>
      <c r="C10" t="s">
        <v>503</v>
      </c>
      <c r="D10">
        <v>150</v>
      </c>
    </row>
    <row r="11" spans="1:6" ht="27.6">
      <c r="A11">
        <v>4</v>
      </c>
      <c r="B11" s="46" t="s">
        <v>859</v>
      </c>
      <c r="C11" t="s">
        <v>445</v>
      </c>
      <c r="D11">
        <v>80</v>
      </c>
    </row>
    <row r="12" spans="1:6">
      <c r="A12">
        <v>5</v>
      </c>
      <c r="B12" s="46" t="s">
        <v>860</v>
      </c>
      <c r="C12" t="s">
        <v>503</v>
      </c>
      <c r="D12">
        <v>320</v>
      </c>
    </row>
    <row r="14" spans="1:6">
      <c r="B14" s="47" t="s">
        <v>581</v>
      </c>
    </row>
    <row r="15" spans="1:6">
      <c r="B15" s="9" t="s">
        <v>861</v>
      </c>
    </row>
    <row r="16" spans="1:6">
      <c r="B16" s="9" t="s">
        <v>862</v>
      </c>
    </row>
    <row r="17" spans="2:2">
      <c r="B17" s="9" t="s">
        <v>863</v>
      </c>
    </row>
    <row r="18" spans="2:2">
      <c r="B18" s="9" t="s">
        <v>864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9"/>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865</v>
      </c>
    </row>
    <row r="2" spans="1:6">
      <c r="B2" s="44" t="s">
        <v>50</v>
      </c>
    </row>
    <row r="4" spans="1:6">
      <c r="A4" s="45" t="s">
        <v>424</v>
      </c>
      <c r="B4" s="45" t="s">
        <v>52</v>
      </c>
      <c r="C4" s="45" t="s">
        <v>425</v>
      </c>
      <c r="D4" s="45" t="s">
        <v>426</v>
      </c>
      <c r="E4" s="45" t="s">
        <v>427</v>
      </c>
      <c r="F4" s="45" t="s">
        <v>428</v>
      </c>
    </row>
    <row r="6" spans="1:6">
      <c r="B6" s="11" t="s">
        <v>866</v>
      </c>
    </row>
    <row r="8" spans="1:6" ht="41.4">
      <c r="A8">
        <v>1</v>
      </c>
      <c r="B8" s="46" t="s">
        <v>867</v>
      </c>
      <c r="C8" t="s">
        <v>463</v>
      </c>
      <c r="D8">
        <v>8</v>
      </c>
    </row>
    <row r="9" spans="1:6" ht="41.4">
      <c r="A9">
        <v>2</v>
      </c>
      <c r="B9" s="46" t="s">
        <v>868</v>
      </c>
      <c r="C9" t="s">
        <v>463</v>
      </c>
      <c r="D9">
        <v>4</v>
      </c>
    </row>
    <row r="10" spans="1:6" ht="41.4">
      <c r="A10">
        <v>3</v>
      </c>
      <c r="B10" s="46" t="s">
        <v>869</v>
      </c>
      <c r="C10" t="s">
        <v>463</v>
      </c>
      <c r="D10">
        <v>2</v>
      </c>
    </row>
    <row r="11" spans="1:6" ht="41.4">
      <c r="A11">
        <v>4</v>
      </c>
      <c r="B11" s="46" t="s">
        <v>870</v>
      </c>
      <c r="C11" t="s">
        <v>463</v>
      </c>
      <c r="D11">
        <v>1</v>
      </c>
    </row>
    <row r="12" spans="1:6" ht="41.4">
      <c r="A12">
        <v>5</v>
      </c>
      <c r="B12" s="46" t="s">
        <v>871</v>
      </c>
      <c r="C12" t="s">
        <v>463</v>
      </c>
      <c r="D12">
        <v>1</v>
      </c>
    </row>
    <row r="13" spans="1:6" ht="41.4">
      <c r="A13">
        <v>6</v>
      </c>
      <c r="B13" s="46" t="s">
        <v>872</v>
      </c>
      <c r="C13" t="s">
        <v>463</v>
      </c>
      <c r="D13">
        <v>2</v>
      </c>
    </row>
    <row r="14" spans="1:6" ht="41.4">
      <c r="A14">
        <v>7</v>
      </c>
      <c r="B14" s="46" t="s">
        <v>873</v>
      </c>
      <c r="C14" t="s">
        <v>463</v>
      </c>
      <c r="D14">
        <v>1</v>
      </c>
    </row>
    <row r="15" spans="1:6" ht="41.4">
      <c r="A15">
        <v>8</v>
      </c>
      <c r="B15" s="46" t="s">
        <v>874</v>
      </c>
      <c r="C15" t="s">
        <v>463</v>
      </c>
      <c r="D15">
        <v>1</v>
      </c>
    </row>
    <row r="17" spans="1:4">
      <c r="B17" s="11" t="s">
        <v>875</v>
      </c>
    </row>
    <row r="19" spans="1:4" ht="27.6">
      <c r="A19">
        <v>9</v>
      </c>
      <c r="B19" s="46" t="s">
        <v>876</v>
      </c>
      <c r="C19" t="s">
        <v>463</v>
      </c>
      <c r="D19">
        <v>12</v>
      </c>
    </row>
    <row r="20" spans="1:4" ht="27.6">
      <c r="A20">
        <v>10</v>
      </c>
      <c r="B20" s="46" t="s">
        <v>877</v>
      </c>
      <c r="C20" t="s">
        <v>463</v>
      </c>
      <c r="D20">
        <v>6</v>
      </c>
    </row>
    <row r="21" spans="1:4" ht="27.6">
      <c r="A21">
        <v>11</v>
      </c>
      <c r="B21" s="46" t="s">
        <v>878</v>
      </c>
      <c r="C21" t="s">
        <v>463</v>
      </c>
      <c r="D21">
        <v>3</v>
      </c>
    </row>
    <row r="23" spans="1:4">
      <c r="B23" s="11" t="s">
        <v>879</v>
      </c>
    </row>
    <row r="25" spans="1:4">
      <c r="A25">
        <v>12</v>
      </c>
      <c r="B25" s="46" t="s">
        <v>880</v>
      </c>
      <c r="C25" t="s">
        <v>881</v>
      </c>
      <c r="D25">
        <v>26</v>
      </c>
    </row>
    <row r="26" spans="1:4" ht="27.6">
      <c r="A26">
        <v>13</v>
      </c>
      <c r="B26" s="46" t="s">
        <v>882</v>
      </c>
      <c r="C26" t="s">
        <v>463</v>
      </c>
      <c r="D26">
        <v>23</v>
      </c>
    </row>
    <row r="27" spans="1:4">
      <c r="A27">
        <v>14</v>
      </c>
      <c r="B27" s="46" t="s">
        <v>883</v>
      </c>
      <c r="C27" t="s">
        <v>881</v>
      </c>
      <c r="D27">
        <v>23</v>
      </c>
    </row>
    <row r="28" spans="1:4">
      <c r="A28">
        <v>15</v>
      </c>
      <c r="B28" s="46" t="s">
        <v>884</v>
      </c>
      <c r="C28" t="s">
        <v>463</v>
      </c>
      <c r="D28">
        <v>12</v>
      </c>
    </row>
    <row r="29" spans="1:4">
      <c r="A29">
        <v>16</v>
      </c>
      <c r="B29" s="46" t="s">
        <v>885</v>
      </c>
      <c r="C29" t="s">
        <v>463</v>
      </c>
      <c r="D29">
        <v>23</v>
      </c>
    </row>
    <row r="30" spans="1:4" ht="27.6">
      <c r="A30">
        <v>17</v>
      </c>
      <c r="B30" s="46" t="s">
        <v>886</v>
      </c>
      <c r="C30" t="s">
        <v>463</v>
      </c>
      <c r="D30">
        <v>6</v>
      </c>
    </row>
    <row r="32" spans="1:4">
      <c r="B32" s="11" t="s">
        <v>887</v>
      </c>
    </row>
    <row r="34" spans="1:4" ht="27.6">
      <c r="A34">
        <v>18</v>
      </c>
      <c r="B34" s="46" t="s">
        <v>888</v>
      </c>
      <c r="C34" t="s">
        <v>503</v>
      </c>
      <c r="D34" t="s">
        <v>889</v>
      </c>
    </row>
    <row r="35" spans="1:4">
      <c r="A35">
        <v>19</v>
      </c>
      <c r="B35" s="46" t="s">
        <v>890</v>
      </c>
      <c r="C35" t="s">
        <v>503</v>
      </c>
      <c r="D35" t="s">
        <v>889</v>
      </c>
    </row>
    <row r="37" spans="1:4">
      <c r="B37" s="11" t="s">
        <v>891</v>
      </c>
    </row>
    <row r="39" spans="1:4" ht="41.4">
      <c r="A39">
        <v>20</v>
      </c>
      <c r="B39" s="46" t="s">
        <v>892</v>
      </c>
      <c r="C39" t="s">
        <v>463</v>
      </c>
      <c r="D39">
        <v>2</v>
      </c>
    </row>
    <row r="40" spans="1:4" ht="41.4">
      <c r="A40">
        <v>21</v>
      </c>
      <c r="B40" s="46" t="s">
        <v>893</v>
      </c>
      <c r="C40" t="s">
        <v>463</v>
      </c>
      <c r="D40">
        <v>1</v>
      </c>
    </row>
    <row r="42" spans="1:4">
      <c r="B42" s="47" t="s">
        <v>581</v>
      </c>
    </row>
    <row r="43" spans="1:4">
      <c r="B43" s="9" t="s">
        <v>894</v>
      </c>
    </row>
    <row r="44" spans="1:4">
      <c r="B44" s="9" t="s">
        <v>895</v>
      </c>
    </row>
    <row r="45" spans="1:4">
      <c r="B45" s="9" t="s">
        <v>896</v>
      </c>
    </row>
    <row r="46" spans="1:4">
      <c r="B46" s="9" t="s">
        <v>897</v>
      </c>
    </row>
    <row r="47" spans="1:4">
      <c r="B47" s="9" t="s">
        <v>898</v>
      </c>
    </row>
    <row r="48" spans="1:4">
      <c r="B48" s="9" t="s">
        <v>899</v>
      </c>
    </row>
    <row r="49" spans="1:4">
      <c r="B49" s="9" t="s">
        <v>900</v>
      </c>
    </row>
    <row r="50" spans="1:4">
      <c r="B50" s="9" t="s">
        <v>901</v>
      </c>
    </row>
    <row r="52" spans="1:4">
      <c r="B52" s="11" t="s">
        <v>902</v>
      </c>
    </row>
    <row r="54" spans="1:4">
      <c r="A54">
        <v>22</v>
      </c>
      <c r="B54" s="46" t="s">
        <v>903</v>
      </c>
      <c r="C54" t="s">
        <v>463</v>
      </c>
      <c r="D54">
        <v>2</v>
      </c>
    </row>
    <row r="55" spans="1:4">
      <c r="A55">
        <v>23</v>
      </c>
      <c r="B55" s="46" t="s">
        <v>904</v>
      </c>
      <c r="C55" t="s">
        <v>463</v>
      </c>
      <c r="D55">
        <v>3</v>
      </c>
    </row>
    <row r="56" spans="1:4">
      <c r="A56">
        <v>24</v>
      </c>
      <c r="B56" s="46" t="s">
        <v>905</v>
      </c>
      <c r="C56" t="s">
        <v>463</v>
      </c>
      <c r="D56">
        <v>8</v>
      </c>
    </row>
    <row r="57" spans="1:4">
      <c r="A57">
        <v>25</v>
      </c>
      <c r="B57" s="46" t="s">
        <v>906</v>
      </c>
      <c r="C57" t="s">
        <v>463</v>
      </c>
      <c r="D57">
        <v>4</v>
      </c>
    </row>
    <row r="58" spans="1:4">
      <c r="A58">
        <v>26</v>
      </c>
      <c r="B58" s="46" t="s">
        <v>907</v>
      </c>
      <c r="C58" t="s">
        <v>463</v>
      </c>
      <c r="D58">
        <v>2</v>
      </c>
    </row>
    <row r="59" spans="1:4">
      <c r="A59">
        <v>27</v>
      </c>
      <c r="B59" s="46" t="s">
        <v>908</v>
      </c>
      <c r="C59" t="s">
        <v>463</v>
      </c>
      <c r="D59">
        <v>15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5"/>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909</v>
      </c>
    </row>
    <row r="2" spans="1:6">
      <c r="B2" s="44" t="s">
        <v>50</v>
      </c>
    </row>
    <row r="4" spans="1:6">
      <c r="A4" s="45" t="s">
        <v>424</v>
      </c>
      <c r="B4" s="45" t="s">
        <v>52</v>
      </c>
      <c r="C4" s="45" t="s">
        <v>425</v>
      </c>
      <c r="D4" s="45" t="s">
        <v>426</v>
      </c>
      <c r="E4" s="45" t="s">
        <v>427</v>
      </c>
      <c r="F4" s="45" t="s">
        <v>428</v>
      </c>
    </row>
    <row r="6" spans="1:6">
      <c r="B6" s="11" t="s">
        <v>910</v>
      </c>
    </row>
    <row r="8" spans="1:6" ht="55.2">
      <c r="A8">
        <v>1</v>
      </c>
      <c r="B8" s="46" t="s">
        <v>911</v>
      </c>
      <c r="C8" t="s">
        <v>463</v>
      </c>
      <c r="D8">
        <v>4</v>
      </c>
    </row>
    <row r="9" spans="1:6" ht="55.2">
      <c r="A9">
        <v>2</v>
      </c>
      <c r="B9" s="46" t="s">
        <v>912</v>
      </c>
      <c r="C9" t="s">
        <v>463</v>
      </c>
      <c r="D9">
        <v>6</v>
      </c>
    </row>
    <row r="10" spans="1:6" ht="55.2">
      <c r="A10">
        <v>3</v>
      </c>
      <c r="B10" s="46" t="s">
        <v>913</v>
      </c>
      <c r="C10" t="s">
        <v>463</v>
      </c>
      <c r="D10">
        <v>3</v>
      </c>
    </row>
    <row r="11" spans="1:6" ht="55.2">
      <c r="A11">
        <v>4</v>
      </c>
      <c r="B11" s="46" t="s">
        <v>914</v>
      </c>
      <c r="C11" t="s">
        <v>463</v>
      </c>
      <c r="D11">
        <v>2</v>
      </c>
    </row>
    <row r="12" spans="1:6" ht="55.2">
      <c r="A12">
        <v>5</v>
      </c>
      <c r="B12" s="46" t="s">
        <v>915</v>
      </c>
      <c r="C12" t="s">
        <v>463</v>
      </c>
      <c r="D12">
        <v>2</v>
      </c>
    </row>
    <row r="13" spans="1:6" ht="55.2">
      <c r="A13">
        <v>6</v>
      </c>
      <c r="B13" s="46" t="s">
        <v>916</v>
      </c>
      <c r="C13" t="s">
        <v>463</v>
      </c>
      <c r="D13">
        <v>1</v>
      </c>
    </row>
    <row r="15" spans="1:6">
      <c r="B15" s="11" t="s">
        <v>917</v>
      </c>
    </row>
    <row r="17" spans="1:4" ht="69">
      <c r="A17">
        <v>7</v>
      </c>
      <c r="B17" s="46" t="s">
        <v>918</v>
      </c>
      <c r="C17" t="s">
        <v>463</v>
      </c>
      <c r="D17">
        <v>1</v>
      </c>
    </row>
    <row r="18" spans="1:4" ht="69">
      <c r="A18">
        <v>8</v>
      </c>
      <c r="B18" s="46" t="s">
        <v>919</v>
      </c>
      <c r="C18" t="s">
        <v>463</v>
      </c>
      <c r="D18">
        <v>1</v>
      </c>
    </row>
    <row r="19" spans="1:4" ht="69">
      <c r="A19">
        <v>9</v>
      </c>
      <c r="B19" s="46" t="s">
        <v>920</v>
      </c>
      <c r="C19" t="s">
        <v>463</v>
      </c>
      <c r="D19">
        <v>1</v>
      </c>
    </row>
    <row r="20" spans="1:4" ht="69">
      <c r="A20">
        <v>10</v>
      </c>
      <c r="B20" s="46" t="s">
        <v>921</v>
      </c>
      <c r="C20" t="s">
        <v>463</v>
      </c>
      <c r="D20">
        <v>1</v>
      </c>
    </row>
    <row r="21" spans="1:4" ht="69">
      <c r="A21">
        <v>11</v>
      </c>
      <c r="B21" s="46" t="s">
        <v>922</v>
      </c>
      <c r="C21" t="s">
        <v>463</v>
      </c>
      <c r="D21">
        <v>1</v>
      </c>
    </row>
    <row r="22" spans="1:4" ht="69">
      <c r="A22">
        <v>12</v>
      </c>
      <c r="B22" s="46" t="s">
        <v>923</v>
      </c>
      <c r="C22" t="s">
        <v>463</v>
      </c>
      <c r="D22">
        <v>1</v>
      </c>
    </row>
    <row r="23" spans="1:4" ht="69">
      <c r="A23">
        <v>13</v>
      </c>
      <c r="B23" s="46" t="s">
        <v>924</v>
      </c>
      <c r="C23" t="s">
        <v>463</v>
      </c>
      <c r="D23">
        <v>1</v>
      </c>
    </row>
    <row r="24" spans="1:4" ht="69">
      <c r="A24">
        <v>14</v>
      </c>
      <c r="B24" s="46" t="s">
        <v>925</v>
      </c>
      <c r="C24" t="s">
        <v>463</v>
      </c>
      <c r="D24">
        <v>1</v>
      </c>
    </row>
    <row r="25" spans="1:4" ht="69">
      <c r="A25">
        <v>15</v>
      </c>
      <c r="B25" s="46" t="s">
        <v>926</v>
      </c>
      <c r="C25" t="s">
        <v>463</v>
      </c>
      <c r="D25">
        <v>1</v>
      </c>
    </row>
    <row r="27" spans="1:4">
      <c r="B27" s="47" t="s">
        <v>581</v>
      </c>
    </row>
    <row r="28" spans="1:4">
      <c r="B28" s="9" t="s">
        <v>927</v>
      </c>
    </row>
    <row r="29" spans="1:4">
      <c r="B29" s="9" t="s">
        <v>928</v>
      </c>
    </row>
    <row r="30" spans="1:4">
      <c r="B30" s="9" t="s">
        <v>929</v>
      </c>
    </row>
    <row r="31" spans="1:4">
      <c r="B31" s="9" t="s">
        <v>930</v>
      </c>
    </row>
    <row r="32" spans="1:4">
      <c r="B32" s="9" t="s">
        <v>931</v>
      </c>
    </row>
    <row r="33" spans="2:2">
      <c r="B33" s="9" t="s">
        <v>932</v>
      </c>
    </row>
    <row r="34" spans="2:2">
      <c r="B34" s="9" t="s">
        <v>933</v>
      </c>
    </row>
    <row r="35" spans="2:2">
      <c r="B35" s="9" t="s">
        <v>934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8"/>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935</v>
      </c>
    </row>
    <row r="2" spans="1:6">
      <c r="B2" s="44" t="s">
        <v>50</v>
      </c>
    </row>
    <row r="4" spans="1:6">
      <c r="A4" s="45" t="s">
        <v>424</v>
      </c>
      <c r="B4" s="45" t="s">
        <v>52</v>
      </c>
      <c r="C4" s="45" t="s">
        <v>425</v>
      </c>
      <c r="D4" s="45" t="s">
        <v>426</v>
      </c>
      <c r="E4" s="45" t="s">
        <v>427</v>
      </c>
      <c r="F4" s="45" t="s">
        <v>428</v>
      </c>
    </row>
    <row r="6" spans="1:6">
      <c r="B6" s="11" t="s">
        <v>936</v>
      </c>
    </row>
    <row r="8" spans="1:6" ht="41.4">
      <c r="A8">
        <v>1</v>
      </c>
      <c r="B8" s="46" t="s">
        <v>937</v>
      </c>
      <c r="C8" t="s">
        <v>463</v>
      </c>
      <c r="D8">
        <v>1</v>
      </c>
    </row>
    <row r="9" spans="1:6" ht="55.2">
      <c r="A9">
        <v>2</v>
      </c>
      <c r="B9" s="46" t="s">
        <v>938</v>
      </c>
      <c r="C9" t="s">
        <v>463</v>
      </c>
      <c r="D9">
        <v>1</v>
      </c>
    </row>
    <row r="11" spans="1:6">
      <c r="B11" s="11" t="s">
        <v>939</v>
      </c>
    </row>
    <row r="13" spans="1:6">
      <c r="A13">
        <v>5</v>
      </c>
      <c r="B13" s="46" t="s">
        <v>940</v>
      </c>
      <c r="C13" t="s">
        <v>463</v>
      </c>
      <c r="D13">
        <v>8</v>
      </c>
    </row>
    <row r="14" spans="1:6">
      <c r="A14">
        <v>6</v>
      </c>
      <c r="B14" s="46" t="s">
        <v>941</v>
      </c>
      <c r="C14" t="s">
        <v>463</v>
      </c>
      <c r="D14">
        <v>12</v>
      </c>
    </row>
    <row r="15" spans="1:6">
      <c r="A15">
        <v>7</v>
      </c>
      <c r="B15" s="46" t="s">
        <v>942</v>
      </c>
      <c r="C15" t="s">
        <v>463</v>
      </c>
      <c r="D15">
        <v>8</v>
      </c>
    </row>
    <row r="16" spans="1:6">
      <c r="A16">
        <v>8</v>
      </c>
      <c r="B16" s="46" t="s">
        <v>943</v>
      </c>
      <c r="C16" t="s">
        <v>463</v>
      </c>
      <c r="D16">
        <v>6</v>
      </c>
    </row>
    <row r="17" spans="1:4">
      <c r="A17">
        <v>9</v>
      </c>
      <c r="B17" s="46" t="s">
        <v>944</v>
      </c>
      <c r="C17" t="s">
        <v>463</v>
      </c>
      <c r="D17">
        <v>25</v>
      </c>
    </row>
    <row r="18" spans="1:4">
      <c r="A18">
        <v>10</v>
      </c>
      <c r="B18" s="46" t="s">
        <v>945</v>
      </c>
      <c r="C18" t="s">
        <v>463</v>
      </c>
      <c r="D18">
        <v>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61"/>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946</v>
      </c>
    </row>
    <row r="2" spans="1:6">
      <c r="B2" s="44" t="s">
        <v>50</v>
      </c>
    </row>
    <row r="4" spans="1:6">
      <c r="A4" s="45" t="s">
        <v>424</v>
      </c>
      <c r="B4" s="45" t="s">
        <v>52</v>
      </c>
      <c r="C4" s="45" t="s">
        <v>425</v>
      </c>
      <c r="D4" s="45" t="s">
        <v>426</v>
      </c>
      <c r="E4" s="45" t="s">
        <v>427</v>
      </c>
      <c r="F4" s="45" t="s">
        <v>428</v>
      </c>
    </row>
    <row r="6" spans="1:6">
      <c r="B6" s="11" t="s">
        <v>947</v>
      </c>
    </row>
    <row r="8" spans="1:6">
      <c r="A8">
        <v>1</v>
      </c>
      <c r="B8" s="46" t="s">
        <v>948</v>
      </c>
      <c r="C8" t="s">
        <v>445</v>
      </c>
      <c r="D8">
        <v>200</v>
      </c>
    </row>
    <row r="9" spans="1:6">
      <c r="A9">
        <v>2</v>
      </c>
      <c r="B9" s="46" t="s">
        <v>949</v>
      </c>
      <c r="C9" t="s">
        <v>463</v>
      </c>
      <c r="D9">
        <v>3</v>
      </c>
    </row>
    <row r="11" spans="1:6">
      <c r="B11" s="11" t="s">
        <v>950</v>
      </c>
    </row>
    <row r="13" spans="1:6">
      <c r="A13">
        <v>3</v>
      </c>
      <c r="B13" s="46" t="s">
        <v>951</v>
      </c>
      <c r="C13" t="s">
        <v>490</v>
      </c>
      <c r="D13">
        <v>85</v>
      </c>
    </row>
    <row r="14" spans="1:6">
      <c r="A14">
        <v>4</v>
      </c>
      <c r="B14" s="46" t="s">
        <v>952</v>
      </c>
      <c r="C14" t="s">
        <v>490</v>
      </c>
      <c r="D14">
        <v>70</v>
      </c>
    </row>
    <row r="15" spans="1:6">
      <c r="A15">
        <v>5</v>
      </c>
      <c r="B15" s="46" t="s">
        <v>953</v>
      </c>
      <c r="C15" t="s">
        <v>445</v>
      </c>
      <c r="D15">
        <v>150</v>
      </c>
    </row>
    <row r="17" spans="1:4">
      <c r="B17" s="11" t="s">
        <v>954</v>
      </c>
    </row>
    <row r="19" spans="1:4" ht="27.6">
      <c r="A19">
        <v>6</v>
      </c>
      <c r="B19" s="46" t="s">
        <v>955</v>
      </c>
      <c r="C19" t="s">
        <v>445</v>
      </c>
      <c r="D19">
        <v>180</v>
      </c>
    </row>
    <row r="20" spans="1:4">
      <c r="A20">
        <v>7</v>
      </c>
      <c r="B20" s="46" t="s">
        <v>956</v>
      </c>
      <c r="C20" t="s">
        <v>445</v>
      </c>
      <c r="D20">
        <v>65</v>
      </c>
    </row>
    <row r="21" spans="1:4">
      <c r="A21">
        <v>8</v>
      </c>
      <c r="B21" s="46" t="s">
        <v>957</v>
      </c>
      <c r="C21" t="s">
        <v>503</v>
      </c>
      <c r="D21">
        <v>85</v>
      </c>
    </row>
    <row r="22" spans="1:4">
      <c r="A22">
        <v>9</v>
      </c>
      <c r="B22" s="46" t="s">
        <v>958</v>
      </c>
      <c r="C22" t="s">
        <v>445</v>
      </c>
      <c r="D22">
        <v>35</v>
      </c>
    </row>
    <row r="24" spans="1:4">
      <c r="B24" s="11" t="s">
        <v>959</v>
      </c>
    </row>
    <row r="26" spans="1:4" ht="27.6">
      <c r="A26">
        <v>10</v>
      </c>
      <c r="B26" s="46" t="s">
        <v>960</v>
      </c>
      <c r="C26" t="s">
        <v>503</v>
      </c>
      <c r="D26">
        <v>12</v>
      </c>
    </row>
    <row r="27" spans="1:4" ht="27.6">
      <c r="A27">
        <v>11</v>
      </c>
      <c r="B27" s="46" t="s">
        <v>961</v>
      </c>
      <c r="C27" t="s">
        <v>445</v>
      </c>
      <c r="D27">
        <v>8</v>
      </c>
    </row>
    <row r="29" spans="1:4">
      <c r="B29" s="11" t="s">
        <v>962</v>
      </c>
    </row>
    <row r="31" spans="1:4" ht="27.6">
      <c r="A31">
        <v>12</v>
      </c>
      <c r="B31" s="46" t="s">
        <v>963</v>
      </c>
      <c r="C31" t="s">
        <v>463</v>
      </c>
      <c r="D31">
        <v>8</v>
      </c>
    </row>
    <row r="32" spans="1:4">
      <c r="A32">
        <v>13</v>
      </c>
      <c r="B32" s="46" t="s">
        <v>964</v>
      </c>
      <c r="C32" t="s">
        <v>503</v>
      </c>
      <c r="D32">
        <v>45</v>
      </c>
    </row>
    <row r="33" spans="1:4">
      <c r="A33">
        <v>14</v>
      </c>
      <c r="B33" s="46" t="s">
        <v>965</v>
      </c>
      <c r="C33" t="s">
        <v>463</v>
      </c>
      <c r="D33">
        <v>4</v>
      </c>
    </row>
    <row r="35" spans="1:4">
      <c r="B35" s="11" t="s">
        <v>966</v>
      </c>
    </row>
    <row r="37" spans="1:4">
      <c r="A37">
        <v>15</v>
      </c>
      <c r="B37" s="46" t="s">
        <v>967</v>
      </c>
      <c r="C37" t="s">
        <v>490</v>
      </c>
      <c r="D37">
        <v>35</v>
      </c>
    </row>
    <row r="38" spans="1:4">
      <c r="A38">
        <v>16</v>
      </c>
      <c r="B38" s="46" t="s">
        <v>968</v>
      </c>
      <c r="C38" t="s">
        <v>445</v>
      </c>
      <c r="D38">
        <v>230</v>
      </c>
    </row>
    <row r="39" spans="1:4">
      <c r="A39">
        <v>17</v>
      </c>
      <c r="B39" s="46" t="s">
        <v>969</v>
      </c>
      <c r="C39" t="s">
        <v>463</v>
      </c>
      <c r="D39">
        <v>25</v>
      </c>
    </row>
    <row r="41" spans="1:4">
      <c r="B41" s="11" t="s">
        <v>970</v>
      </c>
    </row>
    <row r="43" spans="1:4">
      <c r="A43">
        <v>9</v>
      </c>
      <c r="B43" s="46" t="s">
        <v>971</v>
      </c>
      <c r="C43" t="s">
        <v>445</v>
      </c>
      <c r="D43">
        <v>85</v>
      </c>
    </row>
    <row r="44" spans="1:4" ht="27.6">
      <c r="A44">
        <v>10</v>
      </c>
      <c r="B44" s="46" t="s">
        <v>972</v>
      </c>
      <c r="C44" t="s">
        <v>490</v>
      </c>
      <c r="D44">
        <v>28</v>
      </c>
    </row>
    <row r="45" spans="1:4">
      <c r="A45">
        <v>11</v>
      </c>
      <c r="B45" s="46" t="s">
        <v>973</v>
      </c>
      <c r="C45" t="s">
        <v>490</v>
      </c>
      <c r="D45">
        <v>32</v>
      </c>
    </row>
    <row r="46" spans="1:4">
      <c r="A46">
        <v>12</v>
      </c>
      <c r="B46" s="46" t="s">
        <v>974</v>
      </c>
      <c r="C46" t="s">
        <v>445</v>
      </c>
      <c r="D46">
        <v>210</v>
      </c>
    </row>
    <row r="47" spans="1:4">
      <c r="A47">
        <v>13</v>
      </c>
      <c r="B47" s="46" t="s">
        <v>975</v>
      </c>
      <c r="C47" t="s">
        <v>503</v>
      </c>
      <c r="D47">
        <v>24</v>
      </c>
    </row>
    <row r="48" spans="1:4" ht="27.6">
      <c r="A48">
        <v>14</v>
      </c>
      <c r="B48" s="46" t="s">
        <v>976</v>
      </c>
      <c r="C48" t="s">
        <v>463</v>
      </c>
      <c r="D48">
        <v>3</v>
      </c>
    </row>
    <row r="49" spans="1:4">
      <c r="A49">
        <v>15</v>
      </c>
      <c r="B49" s="46" t="s">
        <v>977</v>
      </c>
      <c r="C49" t="s">
        <v>503</v>
      </c>
      <c r="D49">
        <v>18</v>
      </c>
    </row>
    <row r="50" spans="1:4">
      <c r="A50">
        <v>16</v>
      </c>
      <c r="B50" s="46" t="s">
        <v>978</v>
      </c>
      <c r="C50" t="s">
        <v>445</v>
      </c>
      <c r="D50">
        <v>95</v>
      </c>
    </row>
    <row r="51" spans="1:4">
      <c r="A51">
        <v>17</v>
      </c>
      <c r="B51" s="46" t="s">
        <v>979</v>
      </c>
      <c r="C51" t="s">
        <v>445</v>
      </c>
      <c r="D51">
        <v>95</v>
      </c>
    </row>
    <row r="53" spans="1:4">
      <c r="B53" s="11" t="s">
        <v>962</v>
      </c>
    </row>
    <row r="55" spans="1:4" ht="27.6">
      <c r="A55">
        <v>18</v>
      </c>
      <c r="B55" s="46" t="s">
        <v>980</v>
      </c>
      <c r="C55" t="s">
        <v>503</v>
      </c>
      <c r="D55">
        <v>42</v>
      </c>
    </row>
    <row r="56" spans="1:4">
      <c r="A56">
        <v>19</v>
      </c>
      <c r="B56" s="46" t="s">
        <v>981</v>
      </c>
      <c r="C56" t="s">
        <v>503</v>
      </c>
      <c r="D56">
        <v>18</v>
      </c>
    </row>
    <row r="57" spans="1:4" ht="27.6">
      <c r="A57">
        <v>20</v>
      </c>
      <c r="B57" s="46" t="s">
        <v>982</v>
      </c>
      <c r="C57" t="s">
        <v>463</v>
      </c>
      <c r="D57">
        <v>4</v>
      </c>
    </row>
    <row r="58" spans="1:4">
      <c r="A58">
        <v>21</v>
      </c>
      <c r="B58" s="46" t="s">
        <v>983</v>
      </c>
      <c r="C58" t="s">
        <v>463</v>
      </c>
      <c r="D58">
        <v>8</v>
      </c>
    </row>
    <row r="59" spans="1:4">
      <c r="A59">
        <v>22</v>
      </c>
      <c r="B59" s="46" t="s">
        <v>984</v>
      </c>
      <c r="C59" t="s">
        <v>463</v>
      </c>
      <c r="D59">
        <v>3</v>
      </c>
    </row>
    <row r="60" spans="1:4">
      <c r="A60">
        <v>23</v>
      </c>
      <c r="B60" s="46" t="s">
        <v>985</v>
      </c>
      <c r="C60" t="s">
        <v>503</v>
      </c>
      <c r="D60">
        <v>24</v>
      </c>
    </row>
    <row r="61" spans="1:4">
      <c r="A61">
        <v>24</v>
      </c>
      <c r="B61" s="46" t="s">
        <v>986</v>
      </c>
      <c r="C61" t="s">
        <v>463</v>
      </c>
      <c r="D61">
        <v>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68"/>
  <sheetViews>
    <sheetView tabSelected="1" workbookViewId="0">
      <selection sqref="A1:XFD1048576"/>
    </sheetView>
  </sheetViews>
  <sheetFormatPr defaultRowHeight="14.4"/>
  <cols>
    <col min="1" max="1" width="5" customWidth="1"/>
    <col min="2" max="2" width="12" customWidth="1"/>
    <col min="3" max="3" width="80" customWidth="1"/>
    <col min="4" max="4" width="12" customWidth="1"/>
    <col min="5" max="5" width="20" customWidth="1"/>
    <col min="6" max="6" width="10" customWidth="1"/>
  </cols>
  <sheetData>
    <row r="1" spans="1:6" ht="18">
      <c r="C1" s="67" t="s">
        <v>987</v>
      </c>
      <c r="D1" s="58"/>
    </row>
    <row r="3" spans="1:6">
      <c r="A3" s="39" t="s">
        <v>424</v>
      </c>
      <c r="B3" s="39" t="s">
        <v>988</v>
      </c>
      <c r="C3" s="39"/>
      <c r="D3" s="39" t="s">
        <v>988</v>
      </c>
      <c r="E3" s="39" t="s">
        <v>989</v>
      </c>
      <c r="F3" s="39"/>
    </row>
    <row r="4" spans="1:6">
      <c r="B4" s="66" t="s">
        <v>990</v>
      </c>
      <c r="C4" s="58"/>
      <c r="D4" s="58"/>
      <c r="E4" s="58"/>
    </row>
    <row r="6" spans="1:6">
      <c r="B6" s="65" t="s">
        <v>991</v>
      </c>
      <c r="C6" s="58"/>
      <c r="D6" s="58"/>
      <c r="E6" s="58"/>
    </row>
    <row r="7" spans="1:6">
      <c r="B7" s="64" t="s">
        <v>992</v>
      </c>
      <c r="C7" s="58"/>
      <c r="D7" s="40" t="s">
        <v>993</v>
      </c>
    </row>
    <row r="9" spans="1:6">
      <c r="A9" s="41">
        <v>1</v>
      </c>
      <c r="B9" s="41" t="s">
        <v>994</v>
      </c>
      <c r="C9" s="63" t="s">
        <v>995</v>
      </c>
      <c r="D9" s="41"/>
      <c r="E9" s="41"/>
    </row>
    <row r="10" spans="1:6">
      <c r="A10" s="41"/>
      <c r="B10" s="41"/>
      <c r="C10" s="41"/>
      <c r="D10" s="41"/>
      <c r="E10" s="41"/>
    </row>
    <row r="11" spans="1:6">
      <c r="A11" s="41">
        <v>2</v>
      </c>
      <c r="B11" s="41" t="s">
        <v>994</v>
      </c>
      <c r="C11" s="63" t="s">
        <v>996</v>
      </c>
      <c r="D11" s="41"/>
      <c r="E11" s="41"/>
    </row>
    <row r="12" spans="1:6">
      <c r="A12" s="41"/>
      <c r="B12" s="41"/>
      <c r="C12" s="41"/>
      <c r="D12" s="41"/>
      <c r="E12" s="41"/>
    </row>
    <row r="13" spans="1:6">
      <c r="A13" s="41">
        <v>3</v>
      </c>
      <c r="B13" s="41" t="s">
        <v>994</v>
      </c>
      <c r="C13" s="63" t="s">
        <v>997</v>
      </c>
      <c r="D13" s="41"/>
      <c r="E13" s="41"/>
    </row>
    <row r="14" spans="1:6">
      <c r="A14" s="41"/>
      <c r="B14" s="41"/>
      <c r="C14" s="41"/>
      <c r="D14" s="41"/>
      <c r="E14" s="41"/>
    </row>
    <row r="15" spans="1:6">
      <c r="A15" s="41">
        <v>4</v>
      </c>
      <c r="B15" s="41" t="s">
        <v>994</v>
      </c>
      <c r="C15" s="63" t="s">
        <v>998</v>
      </c>
      <c r="D15" s="41"/>
      <c r="E15" s="41"/>
    </row>
    <row r="16" spans="1:6">
      <c r="A16" s="41"/>
      <c r="B16" s="41"/>
      <c r="C16" s="41"/>
      <c r="D16" s="41"/>
      <c r="E16" s="41"/>
    </row>
    <row r="17" spans="1:5">
      <c r="A17" s="41">
        <v>5</v>
      </c>
      <c r="B17" s="41" t="s">
        <v>994</v>
      </c>
      <c r="C17" s="63" t="s">
        <v>999</v>
      </c>
      <c r="D17" s="41"/>
      <c r="E17" s="41"/>
    </row>
    <row r="18" spans="1:5">
      <c r="A18" s="41"/>
      <c r="B18" s="41"/>
      <c r="C18" s="41"/>
      <c r="D18" s="41"/>
      <c r="E18" s="41"/>
    </row>
    <row r="19" spans="1:5">
      <c r="A19" s="41">
        <v>6</v>
      </c>
      <c r="B19" s="41" t="s">
        <v>994</v>
      </c>
      <c r="C19" s="63" t="s">
        <v>1000</v>
      </c>
      <c r="D19" s="41"/>
      <c r="E19" s="41"/>
    </row>
    <row r="20" spans="1:5">
      <c r="A20" s="41"/>
      <c r="B20" s="41"/>
      <c r="C20" s="41"/>
      <c r="D20" s="41"/>
      <c r="E20" s="41"/>
    </row>
    <row r="21" spans="1:5">
      <c r="A21" s="41">
        <v>7</v>
      </c>
      <c r="B21" s="41" t="s">
        <v>994</v>
      </c>
      <c r="C21" s="63" t="s">
        <v>1001</v>
      </c>
      <c r="D21" s="41"/>
      <c r="E21" s="41"/>
    </row>
    <row r="22" spans="1:5">
      <c r="A22" s="41"/>
      <c r="B22" s="41"/>
      <c r="C22" s="41"/>
      <c r="D22" s="41"/>
      <c r="E22" s="41"/>
    </row>
    <row r="23" spans="1:5">
      <c r="A23" s="41">
        <v>8</v>
      </c>
      <c r="B23" s="41" t="s">
        <v>994</v>
      </c>
      <c r="C23" s="63" t="s">
        <v>1002</v>
      </c>
      <c r="D23" s="41"/>
      <c r="E23" s="41"/>
    </row>
    <row r="24" spans="1:5">
      <c r="A24" s="41"/>
      <c r="B24" s="41"/>
      <c r="C24" s="41"/>
      <c r="D24" s="41"/>
      <c r="E24" s="41"/>
    </row>
    <row r="25" spans="1:5">
      <c r="A25" s="41">
        <v>9</v>
      </c>
      <c r="B25" s="41" t="s">
        <v>994</v>
      </c>
      <c r="C25" s="63" t="s">
        <v>1003</v>
      </c>
      <c r="D25" s="41"/>
      <c r="E25" s="41"/>
    </row>
    <row r="26" spans="1:5">
      <c r="A26" s="41"/>
      <c r="B26" s="41"/>
      <c r="C26" s="41"/>
      <c r="D26" s="41"/>
      <c r="E26" s="41"/>
    </row>
    <row r="27" spans="1:5">
      <c r="A27" s="41">
        <v>10</v>
      </c>
      <c r="B27" s="41" t="s">
        <v>994</v>
      </c>
      <c r="C27" s="63" t="s">
        <v>1004</v>
      </c>
      <c r="D27" s="41"/>
      <c r="E27" s="41"/>
    </row>
    <row r="28" spans="1:5">
      <c r="A28" s="41"/>
      <c r="B28" s="41"/>
      <c r="C28" s="41"/>
      <c r="D28" s="41"/>
      <c r="E28" s="41"/>
    </row>
    <row r="29" spans="1:5">
      <c r="A29" s="41">
        <v>11</v>
      </c>
      <c r="B29" s="41" t="s">
        <v>1005</v>
      </c>
      <c r="C29" s="63" t="s">
        <v>1006</v>
      </c>
      <c r="D29" s="41"/>
      <c r="E29" s="41"/>
    </row>
    <row r="30" spans="1:5">
      <c r="A30" s="41"/>
      <c r="B30" s="41"/>
      <c r="C30" s="41"/>
      <c r="D30" s="41"/>
      <c r="E30" s="41"/>
    </row>
    <row r="31" spans="1:5">
      <c r="A31" s="41">
        <v>12</v>
      </c>
      <c r="B31" s="41" t="s">
        <v>1005</v>
      </c>
      <c r="C31" s="63" t="s">
        <v>1007</v>
      </c>
      <c r="D31" s="41"/>
      <c r="E31" s="41"/>
    </row>
    <row r="32" spans="1:5">
      <c r="A32" s="41"/>
      <c r="B32" s="41"/>
      <c r="C32" s="41"/>
      <c r="D32" s="41"/>
      <c r="E32" s="41"/>
    </row>
    <row r="33" spans="1:5">
      <c r="A33" s="41">
        <v>13</v>
      </c>
      <c r="B33" s="41" t="s">
        <v>1005</v>
      </c>
      <c r="C33" s="63" t="s">
        <v>1008</v>
      </c>
      <c r="D33" s="41"/>
      <c r="E33" s="41"/>
    </row>
    <row r="34" spans="1:5">
      <c r="A34" s="41"/>
      <c r="B34" s="41"/>
      <c r="C34" s="41"/>
      <c r="D34" s="41"/>
      <c r="E34" s="41"/>
    </row>
    <row r="35" spans="1:5">
      <c r="A35" s="41">
        <v>14</v>
      </c>
      <c r="B35" s="41" t="s">
        <v>1005</v>
      </c>
      <c r="C35" s="63" t="s">
        <v>1009</v>
      </c>
      <c r="D35" s="41"/>
      <c r="E35" s="41"/>
    </row>
    <row r="36" spans="1:5">
      <c r="A36" s="41"/>
      <c r="B36" s="41"/>
      <c r="C36" s="41"/>
      <c r="D36" s="41"/>
      <c r="E36" s="41"/>
    </row>
    <row r="37" spans="1:5">
      <c r="A37" s="41">
        <v>15</v>
      </c>
      <c r="B37" s="41" t="s">
        <v>1005</v>
      </c>
      <c r="C37" s="63" t="s">
        <v>1010</v>
      </c>
      <c r="D37" s="41"/>
      <c r="E37" s="41"/>
    </row>
    <row r="38" spans="1:5">
      <c r="A38" s="41"/>
      <c r="B38" s="41"/>
      <c r="C38" s="41"/>
      <c r="D38" s="41"/>
      <c r="E38" s="41"/>
    </row>
    <row r="39" spans="1:5">
      <c r="A39" s="41">
        <v>16</v>
      </c>
      <c r="B39" s="41" t="s">
        <v>1005</v>
      </c>
      <c r="C39" s="63" t="s">
        <v>1011</v>
      </c>
      <c r="D39" s="42" t="s">
        <v>1012</v>
      </c>
      <c r="E39" s="43" t="s">
        <v>1013</v>
      </c>
    </row>
    <row r="40" spans="1:5">
      <c r="A40" s="41"/>
      <c r="B40" s="41"/>
      <c r="C40" s="41"/>
      <c r="D40" s="41"/>
      <c r="E40" s="41"/>
    </row>
    <row r="41" spans="1:5">
      <c r="A41" s="41">
        <v>17</v>
      </c>
      <c r="B41" s="41" t="s">
        <v>1005</v>
      </c>
      <c r="C41" s="63" t="s">
        <v>1014</v>
      </c>
      <c r="D41" s="41"/>
      <c r="E41" s="41"/>
    </row>
    <row r="42" spans="1:5">
      <c r="A42" s="41"/>
      <c r="B42" s="41"/>
      <c r="C42" s="41"/>
      <c r="D42" s="41"/>
      <c r="E42" s="41"/>
    </row>
    <row r="43" spans="1:5">
      <c r="A43" s="41">
        <v>18</v>
      </c>
      <c r="B43" s="41" t="s">
        <v>1005</v>
      </c>
      <c r="C43" s="63" t="s">
        <v>1015</v>
      </c>
      <c r="D43" s="41"/>
      <c r="E43" s="41"/>
    </row>
    <row r="44" spans="1:5">
      <c r="A44" s="41"/>
      <c r="B44" s="41"/>
      <c r="C44" s="41"/>
      <c r="D44" s="41"/>
      <c r="E44" s="41"/>
    </row>
    <row r="45" spans="1:5">
      <c r="A45" s="41">
        <v>19</v>
      </c>
      <c r="B45" s="41" t="s">
        <v>1005</v>
      </c>
      <c r="C45" s="63" t="s">
        <v>1016</v>
      </c>
      <c r="D45" s="41"/>
      <c r="E45" s="41"/>
    </row>
    <row r="46" spans="1:5">
      <c r="A46" s="41"/>
      <c r="B46" s="41"/>
      <c r="C46" s="41"/>
      <c r="D46" s="41"/>
      <c r="E46" s="41"/>
    </row>
    <row r="47" spans="1:5">
      <c r="A47" s="41">
        <v>20</v>
      </c>
      <c r="B47" s="41" t="s">
        <v>1012</v>
      </c>
      <c r="C47" s="63" t="s">
        <v>1017</v>
      </c>
      <c r="D47" s="41"/>
      <c r="E47" s="41"/>
    </row>
    <row r="48" spans="1:5">
      <c r="A48" s="41"/>
      <c r="B48" s="41"/>
      <c r="C48" s="41"/>
      <c r="D48" s="41"/>
      <c r="E48" s="41"/>
    </row>
    <row r="49" spans="1:5">
      <c r="A49" s="41">
        <v>21</v>
      </c>
      <c r="B49" s="41" t="s">
        <v>1012</v>
      </c>
      <c r="C49" s="63" t="s">
        <v>1018</v>
      </c>
      <c r="D49" s="41"/>
      <c r="E49" s="41"/>
    </row>
    <row r="50" spans="1:5">
      <c r="A50" s="41"/>
      <c r="B50" s="41"/>
      <c r="C50" s="41"/>
      <c r="D50" s="41"/>
      <c r="E50" s="41"/>
    </row>
    <row r="51" spans="1:5" ht="27.6">
      <c r="A51" s="41">
        <v>22</v>
      </c>
      <c r="B51" s="41" t="s">
        <v>1012</v>
      </c>
      <c r="C51" s="63" t="s">
        <v>1019</v>
      </c>
      <c r="D51" s="42" t="s">
        <v>1012</v>
      </c>
      <c r="E51" s="43" t="s">
        <v>1020</v>
      </c>
    </row>
    <row r="52" spans="1:5">
      <c r="A52" s="41"/>
      <c r="B52" s="41"/>
      <c r="C52" s="41"/>
      <c r="D52" s="41"/>
      <c r="E52" s="41"/>
    </row>
    <row r="53" spans="1:5">
      <c r="A53" s="41">
        <v>23</v>
      </c>
      <c r="B53" s="41" t="s">
        <v>1012</v>
      </c>
      <c r="C53" s="63" t="s">
        <v>1021</v>
      </c>
      <c r="D53" s="41"/>
      <c r="E53" s="41"/>
    </row>
    <row r="54" spans="1:5">
      <c r="A54" s="41"/>
      <c r="B54" s="41"/>
      <c r="C54" s="41"/>
      <c r="D54" s="41"/>
      <c r="E54" s="41"/>
    </row>
    <row r="55" spans="1:5">
      <c r="A55" s="41">
        <v>24</v>
      </c>
      <c r="B55" s="41" t="s">
        <v>1012</v>
      </c>
      <c r="C55" s="63" t="s">
        <v>1022</v>
      </c>
      <c r="D55" s="41"/>
      <c r="E55" s="41"/>
    </row>
    <row r="56" spans="1:5">
      <c r="A56" s="41"/>
      <c r="B56" s="41"/>
      <c r="C56" s="41"/>
      <c r="D56" s="41"/>
      <c r="E56" s="41"/>
    </row>
    <row r="57" spans="1:5">
      <c r="A57" s="41">
        <v>25</v>
      </c>
      <c r="B57" s="41" t="s">
        <v>1012</v>
      </c>
      <c r="C57" s="63" t="s">
        <v>1023</v>
      </c>
      <c r="D57" s="41"/>
      <c r="E57" s="41"/>
    </row>
    <row r="58" spans="1:5">
      <c r="A58" s="41"/>
      <c r="B58" s="41"/>
      <c r="C58" s="41"/>
      <c r="D58" s="41"/>
      <c r="E58" s="41"/>
    </row>
    <row r="59" spans="1:5">
      <c r="A59" s="41">
        <v>26</v>
      </c>
      <c r="B59" s="41" t="s">
        <v>1012</v>
      </c>
      <c r="C59" s="63" t="s">
        <v>1024</v>
      </c>
      <c r="D59" s="41"/>
      <c r="E59" s="41"/>
    </row>
    <row r="60" spans="1:5">
      <c r="A60" s="41"/>
      <c r="B60" s="41"/>
      <c r="C60" s="41"/>
      <c r="D60" s="41"/>
      <c r="E60" s="41"/>
    </row>
    <row r="61" spans="1:5">
      <c r="A61" s="41">
        <v>27</v>
      </c>
      <c r="B61" s="41" t="s">
        <v>1012</v>
      </c>
      <c r="C61" s="63" t="s">
        <v>1025</v>
      </c>
      <c r="D61" s="41"/>
      <c r="E61" s="41"/>
    </row>
    <row r="62" spans="1:5">
      <c r="A62" s="41"/>
      <c r="B62" s="41"/>
      <c r="C62" s="41"/>
      <c r="D62" s="41"/>
      <c r="E62" s="41"/>
    </row>
    <row r="63" spans="1:5">
      <c r="A63" s="41">
        <v>28</v>
      </c>
      <c r="B63" s="41" t="s">
        <v>994</v>
      </c>
      <c r="C63" s="63" t="s">
        <v>1026</v>
      </c>
      <c r="D63" s="41"/>
      <c r="E63" s="41"/>
    </row>
    <row r="64" spans="1:5">
      <c r="A64" s="41"/>
      <c r="B64" s="41"/>
      <c r="C64" s="41"/>
      <c r="D64" s="41"/>
      <c r="E64" s="41"/>
    </row>
    <row r="65" spans="1:5">
      <c r="A65" s="41">
        <v>29</v>
      </c>
      <c r="B65" s="41" t="s">
        <v>994</v>
      </c>
      <c r="C65" s="63" t="s">
        <v>1027</v>
      </c>
      <c r="D65" s="41"/>
      <c r="E65" s="41"/>
    </row>
    <row r="66" spans="1:5">
      <c r="A66" s="41"/>
      <c r="B66" s="41"/>
      <c r="C66" s="41"/>
      <c r="D66" s="41"/>
      <c r="E66" s="41"/>
    </row>
    <row r="67" spans="1:5">
      <c r="A67" s="41">
        <v>30</v>
      </c>
      <c r="B67" s="41" t="s">
        <v>1012</v>
      </c>
      <c r="C67" s="63" t="s">
        <v>1028</v>
      </c>
      <c r="D67" s="41"/>
      <c r="E67" s="41"/>
    </row>
    <row r="68" spans="1:5">
      <c r="A68" s="41"/>
      <c r="B68" s="41"/>
      <c r="C68" s="41"/>
      <c r="D68" s="41"/>
      <c r="E68" s="41"/>
    </row>
  </sheetData>
  <mergeCells count="34">
    <mergeCell ref="B4:E4"/>
    <mergeCell ref="C1:D1"/>
    <mergeCell ref="C15"/>
    <mergeCell ref="C33"/>
    <mergeCell ref="C45"/>
    <mergeCell ref="C35"/>
    <mergeCell ref="C29"/>
    <mergeCell ref="C25"/>
    <mergeCell ref="C41"/>
    <mergeCell ref="C9"/>
    <mergeCell ref="C31"/>
    <mergeCell ref="C43"/>
    <mergeCell ref="C21"/>
    <mergeCell ref="C11"/>
    <mergeCell ref="C27"/>
    <mergeCell ref="B6:E6"/>
    <mergeCell ref="C67"/>
    <mergeCell ref="C13"/>
    <mergeCell ref="C57"/>
    <mergeCell ref="C19"/>
    <mergeCell ref="C37"/>
    <mergeCell ref="C53"/>
    <mergeCell ref="C49"/>
    <mergeCell ref="C63"/>
    <mergeCell ref="C47"/>
    <mergeCell ref="C65"/>
    <mergeCell ref="C55"/>
    <mergeCell ref="C59"/>
    <mergeCell ref="C51"/>
    <mergeCell ref="C23"/>
    <mergeCell ref="C61"/>
    <mergeCell ref="C39"/>
    <mergeCell ref="B7:C7"/>
    <mergeCell ref="C1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0"/>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1029</v>
      </c>
    </row>
    <row r="2" spans="1:6">
      <c r="B2" s="44" t="s">
        <v>50</v>
      </c>
    </row>
    <row r="4" spans="1:6">
      <c r="A4" s="45" t="s">
        <v>424</v>
      </c>
      <c r="B4" s="45" t="s">
        <v>52</v>
      </c>
      <c r="C4" s="45" t="s">
        <v>425</v>
      </c>
      <c r="D4" s="45" t="s">
        <v>426</v>
      </c>
      <c r="E4" s="45" t="s">
        <v>427</v>
      </c>
      <c r="F4" s="45" t="s">
        <v>428</v>
      </c>
    </row>
    <row r="6" spans="1:6">
      <c r="B6" s="11" t="s">
        <v>1030</v>
      </c>
    </row>
    <row r="8" spans="1:6" ht="27.6">
      <c r="A8">
        <v>1</v>
      </c>
      <c r="B8" s="46" t="s">
        <v>1031</v>
      </c>
      <c r="C8" t="s">
        <v>463</v>
      </c>
      <c r="D8">
        <v>6</v>
      </c>
    </row>
    <row r="9" spans="1:6" ht="27.6">
      <c r="A9">
        <v>2</v>
      </c>
      <c r="B9" s="46" t="s">
        <v>1032</v>
      </c>
      <c r="C9" t="s">
        <v>463</v>
      </c>
      <c r="D9">
        <v>8</v>
      </c>
    </row>
    <row r="10" spans="1:6" ht="27.6">
      <c r="A10">
        <v>3</v>
      </c>
      <c r="B10" s="46" t="s">
        <v>1033</v>
      </c>
      <c r="C10" t="s">
        <v>463</v>
      </c>
      <c r="D10">
        <v>1</v>
      </c>
    </row>
    <row r="11" spans="1:6">
      <c r="A11">
        <v>4</v>
      </c>
      <c r="B11" s="46" t="s">
        <v>1034</v>
      </c>
      <c r="C11" t="s">
        <v>463</v>
      </c>
      <c r="D11">
        <v>8</v>
      </c>
    </row>
    <row r="12" spans="1:6">
      <c r="A12">
        <v>5</v>
      </c>
      <c r="B12" s="46" t="s">
        <v>1035</v>
      </c>
      <c r="C12" t="s">
        <v>463</v>
      </c>
      <c r="D12">
        <v>6</v>
      </c>
    </row>
    <row r="13" spans="1:6">
      <c r="A13">
        <v>6</v>
      </c>
      <c r="B13" s="46" t="s">
        <v>1036</v>
      </c>
      <c r="C13" t="s">
        <v>463</v>
      </c>
      <c r="D13">
        <v>8</v>
      </c>
    </row>
    <row r="14" spans="1:6" ht="27.6">
      <c r="A14">
        <v>7</v>
      </c>
      <c r="B14" s="46" t="s">
        <v>1037</v>
      </c>
      <c r="C14" t="s">
        <v>463</v>
      </c>
      <c r="D14">
        <v>6</v>
      </c>
    </row>
    <row r="16" spans="1:6">
      <c r="B16" s="11" t="s">
        <v>1038</v>
      </c>
    </row>
    <row r="18" spans="1:4">
      <c r="A18">
        <v>8</v>
      </c>
      <c r="B18" s="46" t="s">
        <v>1039</v>
      </c>
      <c r="C18" t="s">
        <v>463</v>
      </c>
      <c r="D18">
        <v>12</v>
      </c>
    </row>
    <row r="19" spans="1:4">
      <c r="A19">
        <v>9</v>
      </c>
      <c r="B19" s="46" t="s">
        <v>1040</v>
      </c>
      <c r="C19" t="s">
        <v>463</v>
      </c>
      <c r="D19">
        <v>3</v>
      </c>
    </row>
    <row r="20" spans="1:4" ht="27.6">
      <c r="A20">
        <v>10</v>
      </c>
      <c r="B20" s="46" t="s">
        <v>1041</v>
      </c>
      <c r="C20" t="s">
        <v>463</v>
      </c>
      <c r="D20">
        <v>24</v>
      </c>
    </row>
    <row r="21" spans="1:4">
      <c r="A21">
        <v>11</v>
      </c>
      <c r="B21" s="46" t="s">
        <v>1042</v>
      </c>
      <c r="C21" t="s">
        <v>463</v>
      </c>
      <c r="D21">
        <v>25</v>
      </c>
    </row>
    <row r="22" spans="1:4">
      <c r="A22">
        <v>12</v>
      </c>
      <c r="B22" s="46" t="s">
        <v>1043</v>
      </c>
      <c r="C22" t="s">
        <v>463</v>
      </c>
      <c r="D22">
        <v>8</v>
      </c>
    </row>
    <row r="23" spans="1:4">
      <c r="A23">
        <v>13</v>
      </c>
      <c r="B23" s="46" t="s">
        <v>1044</v>
      </c>
      <c r="C23" t="s">
        <v>463</v>
      </c>
      <c r="D23">
        <v>6</v>
      </c>
    </row>
    <row r="25" spans="1:4">
      <c r="B25" s="11" t="s">
        <v>1045</v>
      </c>
    </row>
    <row r="27" spans="1:4">
      <c r="A27">
        <v>14</v>
      </c>
      <c r="B27" s="46" t="s">
        <v>1046</v>
      </c>
      <c r="C27" t="s">
        <v>463</v>
      </c>
      <c r="D27">
        <v>25</v>
      </c>
    </row>
    <row r="28" spans="1:4">
      <c r="A28">
        <v>15</v>
      </c>
      <c r="B28" s="46" t="s">
        <v>1047</v>
      </c>
      <c r="C28" t="s">
        <v>463</v>
      </c>
      <c r="D28">
        <v>12</v>
      </c>
    </row>
    <row r="29" spans="1:4">
      <c r="A29">
        <v>16</v>
      </c>
      <c r="B29" s="46" t="s">
        <v>1048</v>
      </c>
      <c r="C29" t="s">
        <v>463</v>
      </c>
      <c r="D29">
        <v>25</v>
      </c>
    </row>
    <row r="30" spans="1:4">
      <c r="A30">
        <v>17</v>
      </c>
      <c r="B30" s="46" t="s">
        <v>1049</v>
      </c>
      <c r="C30" t="s">
        <v>463</v>
      </c>
      <c r="D30">
        <v>15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4"/>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1050</v>
      </c>
    </row>
    <row r="2" spans="1:6">
      <c r="B2" s="44" t="s">
        <v>50</v>
      </c>
    </row>
    <row r="4" spans="1:6">
      <c r="A4" s="45" t="s">
        <v>424</v>
      </c>
      <c r="B4" s="45" t="s">
        <v>52</v>
      </c>
      <c r="C4" s="45" t="s">
        <v>425</v>
      </c>
      <c r="D4" s="45" t="s">
        <v>426</v>
      </c>
      <c r="E4" s="45" t="s">
        <v>427</v>
      </c>
      <c r="F4" s="45" t="s">
        <v>428</v>
      </c>
    </row>
    <row r="6" spans="1:6">
      <c r="B6" s="11" t="s">
        <v>1051</v>
      </c>
    </row>
    <row r="8" spans="1:6" ht="27.6">
      <c r="A8">
        <v>1</v>
      </c>
      <c r="B8" s="46" t="s">
        <v>1052</v>
      </c>
      <c r="C8" t="s">
        <v>1053</v>
      </c>
      <c r="D8" t="s">
        <v>1054</v>
      </c>
    </row>
    <row r="9" spans="1:6" ht="27.6">
      <c r="A9">
        <v>2</v>
      </c>
      <c r="B9" s="46" t="s">
        <v>1055</v>
      </c>
      <c r="C9" t="s">
        <v>1053</v>
      </c>
      <c r="D9" t="s">
        <v>1056</v>
      </c>
    </row>
    <row r="10" spans="1:6" ht="27.6">
      <c r="A10">
        <v>3</v>
      </c>
      <c r="B10" s="46" t="s">
        <v>1057</v>
      </c>
      <c r="C10" t="s">
        <v>1053</v>
      </c>
      <c r="D10" t="s">
        <v>1058</v>
      </c>
    </row>
    <row r="11" spans="1:6" ht="27.6">
      <c r="A11">
        <v>4</v>
      </c>
      <c r="B11" s="46" t="s">
        <v>1059</v>
      </c>
      <c r="C11" t="s">
        <v>1053</v>
      </c>
      <c r="D11" t="s">
        <v>1060</v>
      </c>
    </row>
    <row r="12" spans="1:6" ht="27.6">
      <c r="A12">
        <v>5</v>
      </c>
      <c r="B12" s="46" t="s">
        <v>1061</v>
      </c>
      <c r="C12" t="s">
        <v>1053</v>
      </c>
      <c r="D12" t="s">
        <v>1062</v>
      </c>
    </row>
    <row r="14" spans="1:6">
      <c r="B14" s="11" t="s">
        <v>1063</v>
      </c>
    </row>
    <row r="16" spans="1:6">
      <c r="A16">
        <v>6</v>
      </c>
      <c r="B16" s="46" t="s">
        <v>1064</v>
      </c>
      <c r="C16" t="s">
        <v>1053</v>
      </c>
      <c r="D16" t="s">
        <v>1065</v>
      </c>
    </row>
    <row r="17" spans="1:4">
      <c r="A17">
        <v>7</v>
      </c>
      <c r="B17" s="46" t="s">
        <v>1066</v>
      </c>
      <c r="C17" t="s">
        <v>1053</v>
      </c>
      <c r="D17" t="s">
        <v>1067</v>
      </c>
    </row>
    <row r="18" spans="1:4">
      <c r="A18">
        <v>8</v>
      </c>
      <c r="B18" s="46" t="s">
        <v>1068</v>
      </c>
      <c r="C18" t="s">
        <v>1053</v>
      </c>
      <c r="D18" t="s">
        <v>1069</v>
      </c>
    </row>
    <row r="19" spans="1:4">
      <c r="A19">
        <v>9</v>
      </c>
      <c r="B19" s="46" t="s">
        <v>1070</v>
      </c>
      <c r="C19" t="s">
        <v>1053</v>
      </c>
      <c r="D19" t="s">
        <v>1071</v>
      </c>
    </row>
    <row r="20" spans="1:4">
      <c r="A20">
        <v>10</v>
      </c>
      <c r="B20" s="46" t="s">
        <v>1072</v>
      </c>
      <c r="C20" t="s">
        <v>1053</v>
      </c>
      <c r="D20" t="s">
        <v>1073</v>
      </c>
    </row>
    <row r="22" spans="1:4">
      <c r="B22" s="11" t="s">
        <v>1074</v>
      </c>
    </row>
    <row r="24" spans="1:4">
      <c r="A24">
        <v>11</v>
      </c>
      <c r="B24" s="46" t="s">
        <v>1075</v>
      </c>
      <c r="C24" t="s">
        <v>1053</v>
      </c>
      <c r="D24" t="s">
        <v>1076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3"/>
  <sheetViews>
    <sheetView workbookViewId="0"/>
  </sheetViews>
  <sheetFormatPr defaultRowHeight="14.4"/>
  <cols>
    <col min="1" max="1" width="6" customWidth="1"/>
    <col min="2" max="2" width="50" customWidth="1"/>
    <col min="3" max="3" width="8" customWidth="1"/>
    <col min="4" max="5" width="12" customWidth="1"/>
    <col min="6" max="6" width="14" customWidth="1"/>
  </cols>
  <sheetData>
    <row r="1" spans="1:6" ht="15.6">
      <c r="B1" s="6" t="s">
        <v>1077</v>
      </c>
    </row>
    <row r="2" spans="1:6">
      <c r="B2" s="44" t="s">
        <v>1078</v>
      </c>
    </row>
    <row r="4" spans="1:6">
      <c r="A4" s="48" t="s">
        <v>424</v>
      </c>
      <c r="B4" s="48" t="s">
        <v>52</v>
      </c>
      <c r="C4" s="48" t="s">
        <v>425</v>
      </c>
      <c r="D4" s="48" t="s">
        <v>427</v>
      </c>
      <c r="E4" s="48" t="s">
        <v>1079</v>
      </c>
      <c r="F4" s="48" t="s">
        <v>428</v>
      </c>
    </row>
    <row r="6" spans="1:6">
      <c r="B6" s="11" t="s">
        <v>1080</v>
      </c>
    </row>
    <row r="8" spans="1:6">
      <c r="A8">
        <v>1</v>
      </c>
      <c r="B8" s="10" t="s">
        <v>1081</v>
      </c>
      <c r="C8" t="s">
        <v>1082</v>
      </c>
    </row>
    <row r="9" spans="1:6">
      <c r="A9">
        <v>2</v>
      </c>
      <c r="B9" s="10" t="s">
        <v>1083</v>
      </c>
      <c r="C9" t="s">
        <v>1082</v>
      </c>
    </row>
    <row r="10" spans="1:6">
      <c r="A10">
        <v>3</v>
      </c>
      <c r="B10" s="10" t="s">
        <v>1084</v>
      </c>
      <c r="C10" t="s">
        <v>1082</v>
      </c>
    </row>
    <row r="11" spans="1:6">
      <c r="A11">
        <v>4</v>
      </c>
      <c r="B11" s="10" t="s">
        <v>1085</v>
      </c>
      <c r="C11" t="s">
        <v>1082</v>
      </c>
    </row>
    <row r="13" spans="1:6">
      <c r="B13" s="11" t="s">
        <v>1086</v>
      </c>
    </row>
    <row r="15" spans="1:6">
      <c r="A15">
        <v>5</v>
      </c>
      <c r="B15" s="10" t="s">
        <v>1087</v>
      </c>
      <c r="C15" t="s">
        <v>1082</v>
      </c>
    </row>
    <row r="16" spans="1:6">
      <c r="A16">
        <v>6</v>
      </c>
      <c r="B16" s="10" t="s">
        <v>1088</v>
      </c>
      <c r="C16" t="s">
        <v>1082</v>
      </c>
    </row>
    <row r="17" spans="1:4">
      <c r="A17">
        <v>7</v>
      </c>
      <c r="B17" s="10" t="s">
        <v>1089</v>
      </c>
      <c r="C17" t="s">
        <v>1090</v>
      </c>
    </row>
    <row r="18" spans="1:4">
      <c r="A18">
        <v>8</v>
      </c>
      <c r="B18" s="10" t="s">
        <v>1091</v>
      </c>
      <c r="C18" t="s">
        <v>1092</v>
      </c>
    </row>
    <row r="19" spans="1:4">
      <c r="A19">
        <v>9</v>
      </c>
      <c r="B19" s="10" t="s">
        <v>1093</v>
      </c>
      <c r="C19" t="s">
        <v>1092</v>
      </c>
    </row>
    <row r="21" spans="1:4">
      <c r="B21" s="11" t="s">
        <v>1094</v>
      </c>
    </row>
    <row r="23" spans="1:4">
      <c r="A23">
        <v>10</v>
      </c>
      <c r="B23" s="10" t="s">
        <v>1095</v>
      </c>
      <c r="C23" t="s">
        <v>1096</v>
      </c>
      <c r="D23" t="s">
        <v>1097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2"/>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1098</v>
      </c>
    </row>
    <row r="2" spans="1:6">
      <c r="B2" s="44" t="s">
        <v>50</v>
      </c>
    </row>
    <row r="4" spans="1:6">
      <c r="A4" s="48" t="s">
        <v>424</v>
      </c>
      <c r="B4" s="48" t="s">
        <v>52</v>
      </c>
      <c r="C4" s="48" t="s">
        <v>425</v>
      </c>
      <c r="D4" s="48" t="s">
        <v>426</v>
      </c>
      <c r="E4" s="48" t="s">
        <v>427</v>
      </c>
      <c r="F4" s="48" t="s">
        <v>428</v>
      </c>
    </row>
    <row r="6" spans="1:6">
      <c r="B6" s="11" t="s">
        <v>1099</v>
      </c>
    </row>
    <row r="8" spans="1:6">
      <c r="A8">
        <v>1</v>
      </c>
      <c r="B8" s="46" t="s">
        <v>1100</v>
      </c>
      <c r="C8" t="s">
        <v>503</v>
      </c>
      <c r="D8">
        <v>45</v>
      </c>
    </row>
    <row r="9" spans="1:6">
      <c r="A9">
        <v>2</v>
      </c>
      <c r="B9" s="46" t="s">
        <v>1101</v>
      </c>
      <c r="C9" t="s">
        <v>503</v>
      </c>
      <c r="D9">
        <v>32</v>
      </c>
    </row>
    <row r="10" spans="1:6">
      <c r="A10">
        <v>3</v>
      </c>
      <c r="B10" s="46" t="s">
        <v>1102</v>
      </c>
      <c r="C10" t="s">
        <v>503</v>
      </c>
      <c r="D10">
        <v>28</v>
      </c>
    </row>
    <row r="11" spans="1:6">
      <c r="A11">
        <v>4</v>
      </c>
      <c r="B11" s="46" t="s">
        <v>1103</v>
      </c>
      <c r="C11" t="s">
        <v>503</v>
      </c>
      <c r="D11">
        <v>85</v>
      </c>
    </row>
    <row r="12" spans="1:6">
      <c r="A12">
        <v>5</v>
      </c>
      <c r="B12" s="46" t="s">
        <v>1104</v>
      </c>
      <c r="C12" t="s">
        <v>503</v>
      </c>
      <c r="D12">
        <v>42</v>
      </c>
    </row>
    <row r="13" spans="1:6">
      <c r="A13">
        <v>6</v>
      </c>
      <c r="B13" s="46" t="s">
        <v>1105</v>
      </c>
      <c r="C13" t="s">
        <v>463</v>
      </c>
      <c r="D13">
        <v>8</v>
      </c>
    </row>
    <row r="14" spans="1:6">
      <c r="A14">
        <v>7</v>
      </c>
      <c r="B14" s="46" t="s">
        <v>1106</v>
      </c>
      <c r="C14" t="s">
        <v>463</v>
      </c>
      <c r="D14">
        <v>4</v>
      </c>
    </row>
    <row r="15" spans="1:6">
      <c r="A15">
        <v>8</v>
      </c>
      <c r="B15" s="46" t="s">
        <v>1107</v>
      </c>
      <c r="C15" t="s">
        <v>463</v>
      </c>
      <c r="D15">
        <v>12</v>
      </c>
    </row>
    <row r="16" spans="1:6">
      <c r="A16">
        <v>9</v>
      </c>
      <c r="B16" s="46" t="s">
        <v>1108</v>
      </c>
      <c r="C16" t="s">
        <v>463</v>
      </c>
      <c r="D16">
        <v>1</v>
      </c>
    </row>
    <row r="18" spans="1:4">
      <c r="B18" s="11" t="s">
        <v>1109</v>
      </c>
    </row>
    <row r="20" spans="1:4">
      <c r="A20">
        <v>10</v>
      </c>
      <c r="B20" s="46" t="s">
        <v>1110</v>
      </c>
      <c r="C20" t="s">
        <v>503</v>
      </c>
      <c r="D20">
        <v>38</v>
      </c>
    </row>
    <row r="21" spans="1:4">
      <c r="A21">
        <v>11</v>
      </c>
      <c r="B21" s="46" t="s">
        <v>1111</v>
      </c>
      <c r="C21" t="s">
        <v>503</v>
      </c>
      <c r="D21">
        <v>45</v>
      </c>
    </row>
    <row r="22" spans="1:4">
      <c r="A22">
        <v>12</v>
      </c>
      <c r="B22" s="46" t="s">
        <v>1112</v>
      </c>
      <c r="C22" t="s">
        <v>463</v>
      </c>
      <c r="D22">
        <v>1</v>
      </c>
    </row>
    <row r="23" spans="1:4">
      <c r="A23">
        <v>13</v>
      </c>
      <c r="B23" s="46" t="s">
        <v>1113</v>
      </c>
      <c r="C23" t="s">
        <v>463</v>
      </c>
      <c r="D23">
        <v>1</v>
      </c>
    </row>
    <row r="24" spans="1:4">
      <c r="A24">
        <v>14</v>
      </c>
      <c r="B24" s="46" t="s">
        <v>1114</v>
      </c>
      <c r="C24" t="s">
        <v>463</v>
      </c>
      <c r="D24">
        <v>1</v>
      </c>
    </row>
    <row r="25" spans="1:4">
      <c r="A25">
        <v>15</v>
      </c>
      <c r="B25" s="46" t="s">
        <v>1115</v>
      </c>
      <c r="C25" t="s">
        <v>463</v>
      </c>
      <c r="D25">
        <v>1</v>
      </c>
    </row>
    <row r="27" spans="1:4">
      <c r="B27" s="11" t="s">
        <v>1116</v>
      </c>
    </row>
    <row r="29" spans="1:4">
      <c r="A29">
        <v>16</v>
      </c>
      <c r="B29" s="46" t="s">
        <v>1117</v>
      </c>
      <c r="C29" t="s">
        <v>503</v>
      </c>
      <c r="D29">
        <v>48</v>
      </c>
    </row>
    <row r="30" spans="1:4">
      <c r="A30">
        <v>17</v>
      </c>
      <c r="B30" s="46" t="s">
        <v>1118</v>
      </c>
      <c r="C30" t="s">
        <v>503</v>
      </c>
      <c r="D30">
        <v>28</v>
      </c>
    </row>
    <row r="31" spans="1:4">
      <c r="A31">
        <v>18</v>
      </c>
      <c r="B31" s="46" t="s">
        <v>1119</v>
      </c>
      <c r="C31" t="s">
        <v>503</v>
      </c>
      <c r="D31">
        <v>35</v>
      </c>
    </row>
    <row r="32" spans="1:4">
      <c r="A32">
        <v>19</v>
      </c>
      <c r="B32" s="46" t="s">
        <v>1120</v>
      </c>
      <c r="C32" t="s">
        <v>463</v>
      </c>
      <c r="D32">
        <v>5</v>
      </c>
    </row>
    <row r="33" spans="1:4">
      <c r="A33">
        <v>20</v>
      </c>
      <c r="B33" s="46" t="s">
        <v>1121</v>
      </c>
      <c r="C33" t="s">
        <v>463</v>
      </c>
      <c r="D33">
        <v>12</v>
      </c>
    </row>
    <row r="34" spans="1:4">
      <c r="A34">
        <v>21</v>
      </c>
      <c r="B34" s="46" t="s">
        <v>1122</v>
      </c>
      <c r="C34" t="s">
        <v>463</v>
      </c>
      <c r="D34">
        <v>8</v>
      </c>
    </row>
    <row r="35" spans="1:4">
      <c r="A35">
        <v>22</v>
      </c>
      <c r="B35" s="46" t="s">
        <v>1123</v>
      </c>
      <c r="C35" t="s">
        <v>463</v>
      </c>
      <c r="D35">
        <v>6</v>
      </c>
    </row>
    <row r="36" spans="1:4">
      <c r="A36">
        <v>23</v>
      </c>
      <c r="B36" s="46" t="s">
        <v>1124</v>
      </c>
      <c r="C36" t="s">
        <v>463</v>
      </c>
      <c r="D36">
        <v>8</v>
      </c>
    </row>
    <row r="37" spans="1:4">
      <c r="A37">
        <v>24</v>
      </c>
      <c r="B37" s="46" t="s">
        <v>1125</v>
      </c>
      <c r="C37" t="s">
        <v>463</v>
      </c>
      <c r="D37">
        <v>2</v>
      </c>
    </row>
    <row r="39" spans="1:4">
      <c r="B39" s="11" t="s">
        <v>1126</v>
      </c>
    </row>
    <row r="41" spans="1:4">
      <c r="A41">
        <v>25</v>
      </c>
      <c r="B41" s="46" t="s">
        <v>1127</v>
      </c>
      <c r="C41" t="s">
        <v>503</v>
      </c>
      <c r="D41">
        <v>18</v>
      </c>
    </row>
    <row r="42" spans="1:4">
      <c r="A42">
        <v>26</v>
      </c>
      <c r="B42" s="46" t="s">
        <v>1128</v>
      </c>
      <c r="C42" t="s">
        <v>503</v>
      </c>
      <c r="D42">
        <v>24</v>
      </c>
    </row>
    <row r="43" spans="1:4">
      <c r="A43">
        <v>27</v>
      </c>
      <c r="B43" s="46" t="s">
        <v>1129</v>
      </c>
      <c r="C43" t="s">
        <v>503</v>
      </c>
      <c r="D43">
        <v>42</v>
      </c>
    </row>
    <row r="44" spans="1:4">
      <c r="A44">
        <v>28</v>
      </c>
      <c r="B44" s="46" t="s">
        <v>1130</v>
      </c>
      <c r="C44" t="s">
        <v>463</v>
      </c>
      <c r="D44">
        <v>6</v>
      </c>
    </row>
    <row r="45" spans="1:4">
      <c r="A45">
        <v>29</v>
      </c>
      <c r="B45" s="46" t="s">
        <v>1131</v>
      </c>
      <c r="C45" t="s">
        <v>463</v>
      </c>
      <c r="D45">
        <v>3</v>
      </c>
    </row>
    <row r="46" spans="1:4">
      <c r="A46">
        <v>30</v>
      </c>
      <c r="B46" s="46" t="s">
        <v>1132</v>
      </c>
      <c r="C46" t="s">
        <v>463</v>
      </c>
      <c r="D46">
        <v>8</v>
      </c>
    </row>
    <row r="48" spans="1:4">
      <c r="B48" s="11" t="s">
        <v>459</v>
      </c>
    </row>
    <row r="50" spans="1:4">
      <c r="A50">
        <v>31</v>
      </c>
      <c r="B50" s="46" t="s">
        <v>1133</v>
      </c>
      <c r="C50" t="s">
        <v>424</v>
      </c>
      <c r="D50">
        <v>1</v>
      </c>
    </row>
    <row r="51" spans="1:4">
      <c r="A51">
        <v>32</v>
      </c>
      <c r="B51" s="46" t="s">
        <v>1134</v>
      </c>
      <c r="C51" t="s">
        <v>424</v>
      </c>
      <c r="D51">
        <v>1</v>
      </c>
    </row>
    <row r="52" spans="1:4">
      <c r="A52">
        <v>33</v>
      </c>
      <c r="B52" s="46" t="s">
        <v>1135</v>
      </c>
      <c r="C52" t="s">
        <v>424</v>
      </c>
      <c r="D52">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22"/>
  <sheetViews>
    <sheetView workbookViewId="0"/>
  </sheetViews>
  <sheetFormatPr defaultRowHeight="14.4"/>
  <cols>
    <col min="1" max="1" width="6" customWidth="1"/>
    <col min="2" max="2" width="70" customWidth="1"/>
    <col min="3" max="3" width="8" customWidth="1"/>
    <col min="4" max="4" width="10" customWidth="1"/>
    <col min="5" max="5" width="12" customWidth="1"/>
    <col min="6" max="6" width="14" customWidth="1"/>
  </cols>
  <sheetData>
    <row r="1" spans="1:6" ht="15.6">
      <c r="B1" s="6" t="s">
        <v>1136</v>
      </c>
    </row>
    <row r="2" spans="1:6">
      <c r="B2" s="44" t="s">
        <v>50</v>
      </c>
    </row>
    <row r="3" spans="1:6">
      <c r="B3" s="44" t="s">
        <v>1137</v>
      </c>
    </row>
    <row r="5" spans="1:6">
      <c r="A5" s="48" t="s">
        <v>424</v>
      </c>
      <c r="B5" s="48" t="s">
        <v>52</v>
      </c>
      <c r="C5" s="48" t="s">
        <v>425</v>
      </c>
      <c r="D5" s="48" t="s">
        <v>426</v>
      </c>
      <c r="E5" s="48" t="s">
        <v>427</v>
      </c>
      <c r="F5" s="48" t="s">
        <v>428</v>
      </c>
    </row>
    <row r="7" spans="1:6">
      <c r="B7" s="11" t="s">
        <v>1138</v>
      </c>
    </row>
    <row r="9" spans="1:6" ht="27.6">
      <c r="A9">
        <v>1</v>
      </c>
      <c r="B9" s="46" t="s">
        <v>1139</v>
      </c>
      <c r="C9" t="s">
        <v>1053</v>
      </c>
      <c r="D9">
        <v>1</v>
      </c>
    </row>
    <row r="10" spans="1:6">
      <c r="A10">
        <v>2</v>
      </c>
      <c r="B10" s="46" t="s">
        <v>1140</v>
      </c>
      <c r="C10" t="s">
        <v>1053</v>
      </c>
      <c r="D10">
        <v>1</v>
      </c>
    </row>
    <row r="11" spans="1:6">
      <c r="A11">
        <v>3</v>
      </c>
      <c r="B11" s="46" t="s">
        <v>1141</v>
      </c>
      <c r="C11" t="s">
        <v>1053</v>
      </c>
      <c r="D11">
        <v>1</v>
      </c>
    </row>
    <row r="12" spans="1:6">
      <c r="A12">
        <v>4</v>
      </c>
      <c r="B12" s="46" t="s">
        <v>1142</v>
      </c>
      <c r="C12" t="s">
        <v>1053</v>
      </c>
      <c r="D12">
        <v>1</v>
      </c>
    </row>
    <row r="13" spans="1:6">
      <c r="A13">
        <v>5</v>
      </c>
      <c r="B13" s="46" t="s">
        <v>1143</v>
      </c>
      <c r="C13" t="s">
        <v>1053</v>
      </c>
      <c r="D13">
        <v>1</v>
      </c>
    </row>
    <row r="14" spans="1:6">
      <c r="A14">
        <v>6</v>
      </c>
      <c r="B14" s="46" t="s">
        <v>1144</v>
      </c>
      <c r="C14" t="s">
        <v>1053</v>
      </c>
      <c r="D14">
        <v>1</v>
      </c>
    </row>
    <row r="15" spans="1:6">
      <c r="A15">
        <v>7</v>
      </c>
      <c r="B15" s="46" t="s">
        <v>1145</v>
      </c>
      <c r="C15" t="s">
        <v>1053</v>
      </c>
      <c r="D15">
        <v>1</v>
      </c>
    </row>
    <row r="16" spans="1:6">
      <c r="A16">
        <v>8</v>
      </c>
      <c r="B16" s="46" t="s">
        <v>1146</v>
      </c>
      <c r="C16" t="s">
        <v>1053</v>
      </c>
      <c r="D16">
        <v>1</v>
      </c>
    </row>
    <row r="17" spans="1:4">
      <c r="A17">
        <v>9</v>
      </c>
      <c r="B17" s="46" t="s">
        <v>1147</v>
      </c>
      <c r="C17" t="s">
        <v>1053</v>
      </c>
      <c r="D17">
        <v>1</v>
      </c>
    </row>
    <row r="18" spans="1:4">
      <c r="A18">
        <v>10</v>
      </c>
      <c r="B18" s="46" t="s">
        <v>1148</v>
      </c>
      <c r="C18" t="s">
        <v>1053</v>
      </c>
      <c r="D18">
        <v>1</v>
      </c>
    </row>
    <row r="19" spans="1:4">
      <c r="A19">
        <v>11</v>
      </c>
      <c r="B19" s="46" t="s">
        <v>1149</v>
      </c>
      <c r="C19" t="s">
        <v>1053</v>
      </c>
      <c r="D19">
        <v>1</v>
      </c>
    </row>
    <row r="20" spans="1:4">
      <c r="A20">
        <v>12</v>
      </c>
      <c r="B20" s="46" t="s">
        <v>1150</v>
      </c>
      <c r="C20" t="s">
        <v>1053</v>
      </c>
      <c r="D20">
        <v>1</v>
      </c>
    </row>
    <row r="22" spans="1:4">
      <c r="B22" s="11" t="s">
        <v>1151</v>
      </c>
    </row>
    <row r="24" spans="1:4">
      <c r="A24">
        <v>13</v>
      </c>
      <c r="B24" s="46" t="s">
        <v>1152</v>
      </c>
      <c r="C24" t="s">
        <v>463</v>
      </c>
      <c r="D24">
        <v>1</v>
      </c>
    </row>
    <row r="25" spans="1:4">
      <c r="A25">
        <v>14</v>
      </c>
      <c r="B25" s="46" t="s">
        <v>1153</v>
      </c>
      <c r="C25" t="s">
        <v>463</v>
      </c>
      <c r="D25">
        <v>2</v>
      </c>
    </row>
    <row r="26" spans="1:4">
      <c r="A26">
        <v>15</v>
      </c>
      <c r="B26" s="46" t="s">
        <v>1154</v>
      </c>
      <c r="C26" t="s">
        <v>1053</v>
      </c>
      <c r="D26">
        <v>1</v>
      </c>
    </row>
    <row r="27" spans="1:4">
      <c r="A27">
        <v>16</v>
      </c>
      <c r="B27" s="46" t="s">
        <v>1155</v>
      </c>
      <c r="C27" t="s">
        <v>1053</v>
      </c>
      <c r="D27">
        <v>1</v>
      </c>
    </row>
    <row r="28" spans="1:4">
      <c r="A28">
        <v>17</v>
      </c>
      <c r="B28" s="46" t="s">
        <v>1156</v>
      </c>
      <c r="C28" t="s">
        <v>463</v>
      </c>
      <c r="D28">
        <v>1</v>
      </c>
    </row>
    <row r="29" spans="1:4">
      <c r="A29">
        <v>18</v>
      </c>
      <c r="B29" s="46" t="s">
        <v>1157</v>
      </c>
      <c r="C29" t="s">
        <v>463</v>
      </c>
      <c r="D29">
        <v>2</v>
      </c>
    </row>
    <row r="30" spans="1:4">
      <c r="A30">
        <v>19</v>
      </c>
      <c r="B30" s="46" t="s">
        <v>1158</v>
      </c>
      <c r="C30" t="s">
        <v>1053</v>
      </c>
      <c r="D30">
        <v>1</v>
      </c>
    </row>
    <row r="31" spans="1:4">
      <c r="A31">
        <v>20</v>
      </c>
      <c r="B31" s="46" t="s">
        <v>1159</v>
      </c>
      <c r="C31" t="s">
        <v>1053</v>
      </c>
      <c r="D31">
        <v>1</v>
      </c>
    </row>
    <row r="33" spans="1:4">
      <c r="B33" s="11" t="s">
        <v>1160</v>
      </c>
    </row>
    <row r="35" spans="1:4" ht="27.6">
      <c r="A35">
        <v>21</v>
      </c>
      <c r="B35" s="46" t="s">
        <v>1161</v>
      </c>
      <c r="C35" t="s">
        <v>463</v>
      </c>
      <c r="D35">
        <v>1</v>
      </c>
    </row>
    <row r="36" spans="1:4">
      <c r="A36">
        <v>22</v>
      </c>
      <c r="B36" s="46" t="s">
        <v>1162</v>
      </c>
      <c r="C36" t="s">
        <v>463</v>
      </c>
      <c r="D36">
        <v>3</v>
      </c>
    </row>
    <row r="37" spans="1:4">
      <c r="A37">
        <v>23</v>
      </c>
      <c r="B37" s="46" t="s">
        <v>1163</v>
      </c>
      <c r="C37" t="s">
        <v>463</v>
      </c>
      <c r="D37">
        <v>1</v>
      </c>
    </row>
    <row r="38" spans="1:4">
      <c r="A38">
        <v>24</v>
      </c>
      <c r="B38" s="46" t="s">
        <v>1164</v>
      </c>
      <c r="C38" t="s">
        <v>463</v>
      </c>
      <c r="D38">
        <v>1</v>
      </c>
    </row>
    <row r="39" spans="1:4">
      <c r="A39">
        <v>25</v>
      </c>
      <c r="B39" s="46" t="s">
        <v>1165</v>
      </c>
      <c r="C39" t="s">
        <v>463</v>
      </c>
      <c r="D39">
        <v>5</v>
      </c>
    </row>
    <row r="40" spans="1:4">
      <c r="A40">
        <v>26</v>
      </c>
      <c r="B40" s="46" t="s">
        <v>1166</v>
      </c>
      <c r="C40" t="s">
        <v>463</v>
      </c>
      <c r="D40">
        <v>1</v>
      </c>
    </row>
    <row r="41" spans="1:4">
      <c r="A41">
        <v>27</v>
      </c>
      <c r="B41" s="46" t="s">
        <v>1167</v>
      </c>
      <c r="C41" t="s">
        <v>463</v>
      </c>
      <c r="D41">
        <v>1</v>
      </c>
    </row>
    <row r="42" spans="1:4">
      <c r="A42">
        <v>28</v>
      </c>
      <c r="B42" s="46" t="s">
        <v>1168</v>
      </c>
      <c r="C42" t="s">
        <v>503</v>
      </c>
      <c r="D42">
        <v>32</v>
      </c>
    </row>
    <row r="43" spans="1:4">
      <c r="A43">
        <v>29</v>
      </c>
      <c r="B43" s="46" t="s">
        <v>1169</v>
      </c>
      <c r="C43" t="s">
        <v>503</v>
      </c>
      <c r="D43">
        <v>32</v>
      </c>
    </row>
    <row r="44" spans="1:4">
      <c r="A44">
        <v>30</v>
      </c>
      <c r="B44" s="46" t="s">
        <v>1170</v>
      </c>
      <c r="C44" t="s">
        <v>503</v>
      </c>
      <c r="D44">
        <v>32</v>
      </c>
    </row>
    <row r="45" spans="1:4">
      <c r="A45">
        <v>31</v>
      </c>
      <c r="B45" s="46" t="s">
        <v>1171</v>
      </c>
      <c r="C45" t="s">
        <v>503</v>
      </c>
      <c r="D45">
        <v>78</v>
      </c>
    </row>
    <row r="46" spans="1:4">
      <c r="A46">
        <v>32</v>
      </c>
      <c r="B46" s="46" t="s">
        <v>1172</v>
      </c>
      <c r="C46" t="s">
        <v>503</v>
      </c>
      <c r="D46">
        <v>42</v>
      </c>
    </row>
    <row r="47" spans="1:4">
      <c r="A47">
        <v>33</v>
      </c>
      <c r="B47" s="46" t="s">
        <v>1173</v>
      </c>
      <c r="C47" t="s">
        <v>503</v>
      </c>
      <c r="D47">
        <v>90</v>
      </c>
    </row>
    <row r="48" spans="1:4">
      <c r="A48">
        <v>34</v>
      </c>
      <c r="B48" s="46" t="s">
        <v>1174</v>
      </c>
      <c r="C48" t="s">
        <v>503</v>
      </c>
      <c r="D48">
        <v>42</v>
      </c>
    </row>
    <row r="49" spans="1:4">
      <c r="A49">
        <v>35</v>
      </c>
      <c r="B49" s="46" t="s">
        <v>1175</v>
      </c>
      <c r="C49" t="s">
        <v>463</v>
      </c>
      <c r="D49">
        <v>2</v>
      </c>
    </row>
    <row r="50" spans="1:4">
      <c r="A50">
        <v>36</v>
      </c>
      <c r="B50" s="46" t="s">
        <v>1176</v>
      </c>
      <c r="C50" t="s">
        <v>1053</v>
      </c>
      <c r="D50">
        <v>1</v>
      </c>
    </row>
    <row r="51" spans="1:4">
      <c r="A51">
        <v>37</v>
      </c>
      <c r="B51" s="46" t="s">
        <v>1177</v>
      </c>
      <c r="C51" t="s">
        <v>1053</v>
      </c>
      <c r="D51">
        <v>1</v>
      </c>
    </row>
    <row r="52" spans="1:4">
      <c r="A52">
        <v>38</v>
      </c>
      <c r="B52" s="46" t="s">
        <v>1178</v>
      </c>
      <c r="C52" t="s">
        <v>1053</v>
      </c>
      <c r="D52">
        <v>1</v>
      </c>
    </row>
    <row r="53" spans="1:4">
      <c r="A53">
        <v>39</v>
      </c>
      <c r="B53" s="46" t="s">
        <v>1179</v>
      </c>
      <c r="C53" t="s">
        <v>1053</v>
      </c>
      <c r="D53">
        <v>1</v>
      </c>
    </row>
    <row r="54" spans="1:4">
      <c r="A54">
        <v>40</v>
      </c>
      <c r="B54" s="46" t="s">
        <v>1180</v>
      </c>
      <c r="C54" t="s">
        <v>1053</v>
      </c>
      <c r="D54">
        <v>1</v>
      </c>
    </row>
    <row r="55" spans="1:4">
      <c r="A55">
        <v>41</v>
      </c>
      <c r="B55" s="46" t="s">
        <v>1181</v>
      </c>
      <c r="C55" t="s">
        <v>1053</v>
      </c>
      <c r="D55">
        <v>1</v>
      </c>
    </row>
    <row r="56" spans="1:4">
      <c r="A56">
        <v>42</v>
      </c>
      <c r="B56" s="46" t="s">
        <v>1182</v>
      </c>
      <c r="C56" t="s">
        <v>1183</v>
      </c>
      <c r="D56">
        <v>15</v>
      </c>
    </row>
    <row r="57" spans="1:4">
      <c r="A57">
        <v>43</v>
      </c>
      <c r="B57" s="46" t="s">
        <v>1184</v>
      </c>
      <c r="C57" t="s">
        <v>1053</v>
      </c>
      <c r="D57">
        <v>1</v>
      </c>
    </row>
    <row r="59" spans="1:4">
      <c r="B59" s="11" t="s">
        <v>1185</v>
      </c>
    </row>
    <row r="61" spans="1:4">
      <c r="A61">
        <v>44</v>
      </c>
      <c r="B61" s="46" t="s">
        <v>1186</v>
      </c>
      <c r="C61" t="s">
        <v>503</v>
      </c>
      <c r="D61">
        <v>150</v>
      </c>
    </row>
    <row r="62" spans="1:4">
      <c r="A62">
        <v>45</v>
      </c>
      <c r="B62" s="46" t="s">
        <v>1187</v>
      </c>
      <c r="C62" t="s">
        <v>463</v>
      </c>
      <c r="D62">
        <v>20</v>
      </c>
    </row>
    <row r="63" spans="1:4">
      <c r="A63">
        <v>46</v>
      </c>
      <c r="B63" s="46" t="s">
        <v>1188</v>
      </c>
      <c r="C63" t="s">
        <v>463</v>
      </c>
      <c r="D63">
        <v>2</v>
      </c>
    </row>
    <row r="64" spans="1:4">
      <c r="A64">
        <v>47</v>
      </c>
      <c r="B64" s="46" t="s">
        <v>1189</v>
      </c>
      <c r="C64" t="s">
        <v>463</v>
      </c>
      <c r="D64">
        <v>4</v>
      </c>
    </row>
    <row r="66" spans="1:4">
      <c r="B66" s="11" t="s">
        <v>1190</v>
      </c>
    </row>
    <row r="68" spans="1:4">
      <c r="A68">
        <v>48</v>
      </c>
      <c r="B68" s="46" t="s">
        <v>1191</v>
      </c>
      <c r="C68" t="s">
        <v>463</v>
      </c>
      <c r="D68">
        <v>1</v>
      </c>
    </row>
    <row r="69" spans="1:4">
      <c r="A69">
        <v>49</v>
      </c>
      <c r="B69" s="46" t="s">
        <v>1192</v>
      </c>
      <c r="C69" t="s">
        <v>1053</v>
      </c>
      <c r="D69">
        <v>1</v>
      </c>
    </row>
    <row r="71" spans="1:4">
      <c r="B71" s="11" t="s">
        <v>1193</v>
      </c>
    </row>
    <row r="73" spans="1:4">
      <c r="A73">
        <v>50</v>
      </c>
      <c r="B73" s="46" t="s">
        <v>1194</v>
      </c>
      <c r="C73" t="s">
        <v>463</v>
      </c>
      <c r="D73">
        <v>11</v>
      </c>
    </row>
    <row r="74" spans="1:4">
      <c r="A74">
        <v>51</v>
      </c>
      <c r="B74" s="46" t="s">
        <v>1195</v>
      </c>
      <c r="C74" t="s">
        <v>463</v>
      </c>
      <c r="D74">
        <v>1</v>
      </c>
    </row>
    <row r="75" spans="1:4">
      <c r="A75">
        <v>52</v>
      </c>
      <c r="B75" s="46" t="s">
        <v>1196</v>
      </c>
      <c r="C75" t="s">
        <v>1053</v>
      </c>
      <c r="D75">
        <v>1</v>
      </c>
    </row>
    <row r="77" spans="1:4">
      <c r="B77" s="11" t="s">
        <v>1197</v>
      </c>
    </row>
    <row r="79" spans="1:4">
      <c r="A79">
        <v>53</v>
      </c>
      <c r="B79" s="46" t="s">
        <v>1198</v>
      </c>
      <c r="C79" t="s">
        <v>463</v>
      </c>
      <c r="D79">
        <v>11</v>
      </c>
    </row>
    <row r="80" spans="1:4">
      <c r="A80">
        <v>54</v>
      </c>
      <c r="B80" s="46" t="s">
        <v>1199</v>
      </c>
      <c r="C80" t="s">
        <v>1053</v>
      </c>
      <c r="D80">
        <v>1</v>
      </c>
    </row>
    <row r="81" spans="1:4">
      <c r="A81">
        <v>55</v>
      </c>
      <c r="B81" s="46" t="s">
        <v>1200</v>
      </c>
      <c r="C81" t="s">
        <v>463</v>
      </c>
      <c r="D81">
        <v>2</v>
      </c>
    </row>
    <row r="82" spans="1:4">
      <c r="A82">
        <v>56</v>
      </c>
      <c r="B82" s="46" t="s">
        <v>1201</v>
      </c>
      <c r="C82" t="s">
        <v>1053</v>
      </c>
      <c r="D82">
        <v>1</v>
      </c>
    </row>
    <row r="84" spans="1:4">
      <c r="B84" s="11" t="s">
        <v>1202</v>
      </c>
    </row>
    <row r="86" spans="1:4">
      <c r="A86">
        <v>57</v>
      </c>
      <c r="B86" s="46" t="s">
        <v>1203</v>
      </c>
      <c r="C86" t="s">
        <v>503</v>
      </c>
      <c r="D86">
        <v>4</v>
      </c>
    </row>
    <row r="87" spans="1:4">
      <c r="A87">
        <v>58</v>
      </c>
      <c r="B87" s="46" t="s">
        <v>1204</v>
      </c>
      <c r="C87" t="s">
        <v>503</v>
      </c>
      <c r="D87">
        <v>6</v>
      </c>
    </row>
    <row r="88" spans="1:4">
      <c r="A88">
        <v>59</v>
      </c>
      <c r="B88" s="46" t="s">
        <v>1205</v>
      </c>
      <c r="C88" t="s">
        <v>503</v>
      </c>
      <c r="D88">
        <v>5</v>
      </c>
    </row>
    <row r="89" spans="1:4">
      <c r="A89">
        <v>60</v>
      </c>
      <c r="B89" s="46" t="s">
        <v>1206</v>
      </c>
      <c r="C89" t="s">
        <v>503</v>
      </c>
      <c r="D89">
        <v>18</v>
      </c>
    </row>
    <row r="90" spans="1:4">
      <c r="A90">
        <v>61</v>
      </c>
      <c r="B90" s="46" t="s">
        <v>1207</v>
      </c>
      <c r="C90" t="s">
        <v>503</v>
      </c>
      <c r="D90">
        <v>30</v>
      </c>
    </row>
    <row r="91" spans="1:4">
      <c r="A91">
        <v>62</v>
      </c>
      <c r="B91" s="46" t="s">
        <v>1208</v>
      </c>
      <c r="C91" t="s">
        <v>503</v>
      </c>
      <c r="D91">
        <v>7</v>
      </c>
    </row>
    <row r="93" spans="1:4">
      <c r="B93" s="11" t="s">
        <v>1209</v>
      </c>
    </row>
    <row r="95" spans="1:4">
      <c r="A95">
        <v>63</v>
      </c>
      <c r="B95" s="46" t="s">
        <v>1210</v>
      </c>
      <c r="C95" t="s">
        <v>463</v>
      </c>
      <c r="D95">
        <v>1</v>
      </c>
    </row>
    <row r="96" spans="1:4">
      <c r="A96">
        <v>64</v>
      </c>
      <c r="B96" s="46" t="s">
        <v>1211</v>
      </c>
      <c r="C96" t="s">
        <v>463</v>
      </c>
      <c r="D96">
        <v>4</v>
      </c>
    </row>
    <row r="97" spans="1:4">
      <c r="A97">
        <v>65</v>
      </c>
      <c r="B97" s="46" t="s">
        <v>1212</v>
      </c>
      <c r="C97" t="s">
        <v>463</v>
      </c>
      <c r="D97">
        <v>4</v>
      </c>
    </row>
    <row r="98" spans="1:4">
      <c r="A98">
        <v>66</v>
      </c>
      <c r="B98" s="46" t="s">
        <v>1213</v>
      </c>
      <c r="C98" t="s">
        <v>463</v>
      </c>
      <c r="D98">
        <v>1</v>
      </c>
    </row>
    <row r="99" spans="1:4">
      <c r="A99">
        <v>67</v>
      </c>
      <c r="B99" s="46" t="s">
        <v>1214</v>
      </c>
      <c r="C99" t="s">
        <v>463</v>
      </c>
      <c r="D99">
        <v>1</v>
      </c>
    </row>
    <row r="100" spans="1:4">
      <c r="A100">
        <v>68</v>
      </c>
      <c r="B100" s="46" t="s">
        <v>1215</v>
      </c>
      <c r="C100" t="s">
        <v>463</v>
      </c>
      <c r="D100">
        <v>1</v>
      </c>
    </row>
    <row r="101" spans="1:4">
      <c r="A101">
        <v>69</v>
      </c>
      <c r="B101" s="46" t="s">
        <v>1216</v>
      </c>
      <c r="C101" t="s">
        <v>463</v>
      </c>
      <c r="D101">
        <v>1</v>
      </c>
    </row>
    <row r="102" spans="1:4">
      <c r="A102">
        <v>70</v>
      </c>
      <c r="B102" s="46" t="s">
        <v>1217</v>
      </c>
      <c r="C102" t="s">
        <v>463</v>
      </c>
      <c r="D102">
        <v>1</v>
      </c>
    </row>
    <row r="103" spans="1:4">
      <c r="A103">
        <v>71</v>
      </c>
      <c r="B103" s="46" t="s">
        <v>1218</v>
      </c>
      <c r="C103" t="s">
        <v>463</v>
      </c>
      <c r="D103">
        <v>1</v>
      </c>
    </row>
    <row r="104" spans="1:4">
      <c r="A104">
        <v>72</v>
      </c>
      <c r="B104" s="46" t="s">
        <v>1219</v>
      </c>
      <c r="C104" t="s">
        <v>463</v>
      </c>
      <c r="D104">
        <v>1</v>
      </c>
    </row>
    <row r="105" spans="1:4">
      <c r="A105">
        <v>73</v>
      </c>
      <c r="B105" s="46" t="s">
        <v>1220</v>
      </c>
      <c r="C105" t="s">
        <v>463</v>
      </c>
      <c r="D105">
        <v>3</v>
      </c>
    </row>
    <row r="106" spans="1:4">
      <c r="A106">
        <v>74</v>
      </c>
      <c r="B106" s="46" t="s">
        <v>1221</v>
      </c>
      <c r="C106" t="s">
        <v>463</v>
      </c>
      <c r="D106">
        <v>6</v>
      </c>
    </row>
    <row r="108" spans="1:4">
      <c r="B108" s="11" t="s">
        <v>1038</v>
      </c>
    </row>
    <row r="110" spans="1:4">
      <c r="A110">
        <v>75</v>
      </c>
      <c r="B110" s="46" t="s">
        <v>1222</v>
      </c>
      <c r="C110" t="s">
        <v>1053</v>
      </c>
      <c r="D110">
        <v>1</v>
      </c>
    </row>
    <row r="111" spans="1:4">
      <c r="A111">
        <v>76</v>
      </c>
      <c r="B111" s="46" t="s">
        <v>1223</v>
      </c>
      <c r="C111" t="s">
        <v>463</v>
      </c>
      <c r="D111">
        <v>2</v>
      </c>
    </row>
    <row r="112" spans="1:4">
      <c r="A112">
        <v>77</v>
      </c>
      <c r="B112" s="46" t="s">
        <v>1224</v>
      </c>
      <c r="C112" t="s">
        <v>463</v>
      </c>
      <c r="D112">
        <v>2</v>
      </c>
    </row>
    <row r="113" spans="1:4">
      <c r="A113">
        <v>78</v>
      </c>
      <c r="B113" s="46" t="s">
        <v>1225</v>
      </c>
      <c r="C113" t="s">
        <v>463</v>
      </c>
      <c r="D113">
        <v>2</v>
      </c>
    </row>
    <row r="114" spans="1:4">
      <c r="A114">
        <v>79</v>
      </c>
      <c r="B114" s="46" t="s">
        <v>1226</v>
      </c>
      <c r="C114" t="s">
        <v>463</v>
      </c>
      <c r="D114">
        <v>2</v>
      </c>
    </row>
    <row r="115" spans="1:4">
      <c r="A115">
        <v>80</v>
      </c>
      <c r="B115" s="46" t="s">
        <v>1227</v>
      </c>
      <c r="C115" t="s">
        <v>463</v>
      </c>
      <c r="D115">
        <v>0</v>
      </c>
    </row>
    <row r="117" spans="1:4">
      <c r="B117" s="11" t="s">
        <v>1051</v>
      </c>
    </row>
    <row r="119" spans="1:4">
      <c r="A119">
        <v>81</v>
      </c>
      <c r="B119" s="46" t="s">
        <v>1228</v>
      </c>
      <c r="C119" t="s">
        <v>1229</v>
      </c>
      <c r="D119" t="s">
        <v>1230</v>
      </c>
    </row>
    <row r="120" spans="1:4">
      <c r="A120">
        <v>82</v>
      </c>
      <c r="B120" s="46" t="s">
        <v>1231</v>
      </c>
      <c r="C120" t="s">
        <v>1229</v>
      </c>
      <c r="D120" t="s">
        <v>1232</v>
      </c>
    </row>
    <row r="121" spans="1:4">
      <c r="A121">
        <v>83</v>
      </c>
      <c r="B121" s="46" t="s">
        <v>1233</v>
      </c>
      <c r="C121" t="s">
        <v>1229</v>
      </c>
      <c r="D121" t="s">
        <v>1234</v>
      </c>
    </row>
    <row r="122" spans="1:4">
      <c r="A122">
        <v>84</v>
      </c>
      <c r="B122" s="46" t="s">
        <v>1235</v>
      </c>
      <c r="C122" t="s">
        <v>1229</v>
      </c>
      <c r="D122" t="s">
        <v>1236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Bill Summary</vt:lpstr>
      <vt:lpstr>Preambles</vt:lpstr>
      <vt:lpstr>Bill 18 - Preliminaries</vt:lpstr>
      <vt:lpstr>Bill 1 - Alterations</vt:lpstr>
      <vt:lpstr>Bill 2 - Foundations</vt:lpstr>
      <vt:lpstr>Bill 3 - Concrete</vt:lpstr>
      <vt:lpstr>Bill 4 - Brickwork</vt:lpstr>
      <vt:lpstr>Bill 5 - Steelwork</vt:lpstr>
      <vt:lpstr>Bill 6 - Surface Beds</vt:lpstr>
      <vt:lpstr>Bill 7 - Roofs</vt:lpstr>
      <vt:lpstr>Bill 8 - External Finishes</vt:lpstr>
      <vt:lpstr>Bill 9 - Floor Finishes</vt:lpstr>
      <vt:lpstr>Bill 10 - Wall Finishes</vt:lpstr>
      <vt:lpstr>Bill 11 - Ceilings</vt:lpstr>
      <vt:lpstr>Bill 12 - Doors</vt:lpstr>
      <vt:lpstr>Bill 13 - Windows</vt:lpstr>
      <vt:lpstr>Bill 14 - Joinery</vt:lpstr>
      <vt:lpstr>Bill 15 - External Works</vt:lpstr>
      <vt:lpstr>Query List</vt:lpstr>
      <vt:lpstr>Bill 16 - Sundries</vt:lpstr>
      <vt:lpstr>Bill 17 - Prov Sums</vt:lpstr>
      <vt:lpstr>Daywork Schedule</vt:lpstr>
      <vt:lpstr>Bill 19 - Plumbing</vt:lpstr>
      <vt:lpstr>Bill 20 - Mechanical HVAC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dcterms:created xsi:type="dcterms:W3CDTF">2025-12-11T09:22:35Z</dcterms:created>
  <dcterms:modified xsi:type="dcterms:W3CDTF">2025-12-11T14:32:42Z</dcterms:modified>
</cp:coreProperties>
</file>