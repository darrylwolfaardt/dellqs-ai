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on\OneDrive\Documents\Documents\5 EXCELQS Projects\UFHARE - FINANCE OFFICE CONVERSION\UFHare - MEASUREMENT\Measure Excel Files\"/>
    </mc:Choice>
  </mc:AlternateContent>
  <xr:revisionPtr revIDLastSave="0" documentId="8_{865A41EE-A1D7-48E3-9ABB-250862A95F65}" xr6:coauthVersionLast="47" xr6:coauthVersionMax="47" xr10:uidLastSave="{00000000-0000-0000-0000-000000000000}"/>
  <bookViews>
    <workbookView xWindow="11424" yWindow="0" windowWidth="11712" windowHeight="12336" xr2:uid="{00000000-000D-0000-FFFF-FFFF00000000}"/>
  </bookViews>
  <sheets>
    <sheet name="Demolitions &amp; Alterations" sheetId="1" r:id="rId1"/>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1" i="1" l="1"/>
  <c r="F89" i="1"/>
  <c r="F87" i="1"/>
  <c r="F93" i="1" s="1"/>
  <c r="C83" i="1"/>
  <c r="F81" i="1"/>
  <c r="F79" i="1"/>
  <c r="F77" i="1"/>
  <c r="F83" i="1" s="1"/>
  <c r="F71" i="1"/>
  <c r="F69" i="1"/>
  <c r="F67" i="1"/>
  <c r="F65" i="1"/>
  <c r="F73" i="1" s="1"/>
  <c r="C61" i="1"/>
  <c r="F59" i="1"/>
  <c r="F57" i="1"/>
  <c r="F61" i="1" s="1"/>
  <c r="C53" i="1"/>
  <c r="F51" i="1"/>
  <c r="F49" i="1"/>
  <c r="F47" i="1"/>
  <c r="F45" i="1"/>
  <c r="F53" i="1" s="1"/>
  <c r="F39" i="1"/>
  <c r="F37" i="1"/>
  <c r="F35" i="1"/>
  <c r="F33" i="1"/>
  <c r="F41" i="1" s="1"/>
  <c r="C29" i="1"/>
  <c r="F27" i="1"/>
  <c r="F25" i="1"/>
  <c r="F29" i="1" s="1"/>
  <c r="C21" i="1"/>
  <c r="F19" i="1"/>
  <c r="F17" i="1"/>
  <c r="F15" i="1"/>
  <c r="F13" i="1"/>
  <c r="F11" i="1"/>
  <c r="F21" i="1" s="1"/>
  <c r="F96" i="1" l="1"/>
</calcChain>
</file>

<file path=xl/sharedStrings.xml><?xml version="1.0" encoding="utf-8"?>
<sst xmlns="http://schemas.openxmlformats.org/spreadsheetml/2006/main" count="156" uniqueCount="117">
  <si>
    <t>UNIVERSITY OF FORT HARE</t>
  </si>
  <si>
    <t>FINANCE OFFICE CONVERSION - ALICE CAMPUS</t>
  </si>
  <si>
    <t>BILLS OF QUANTITIES</t>
  </si>
  <si>
    <t>TRADE: DEMOLITIONS AND ALTERATIONS</t>
  </si>
  <si>
    <t>Item</t>
  </si>
  <si>
    <t>Description</t>
  </si>
  <si>
    <t>Quantity</t>
  </si>
  <si>
    <t>Unit</t>
  </si>
  <si>
    <t>Rate</t>
  </si>
  <si>
    <t>Amount</t>
  </si>
  <si>
    <t>1.0</t>
  </si>
  <si>
    <t>DEMOLITION OF BRICK WALLS</t>
  </si>
  <si>
    <t>1.1</t>
  </si>
  <si>
    <t>Demolish internal half brick walls (110mm thick), including removal of plaster, making good adjoining surfaces, removal and disposal of debris</t>
  </si>
  <si>
    <t>66.00</t>
  </si>
  <si>
    <t>m²</t>
  </si>
  <si>
    <t>1.2</t>
  </si>
  <si>
    <t>Demolish internal one brick walls (230mm thick), including removal of plaster, making good adjoining surfaces, removal and disposal of debris</t>
  </si>
  <si>
    <t>0.00</t>
  </si>
  <si>
    <t>1.3</t>
  </si>
  <si>
    <t>Demolish external one brick walls (230mm thick), including removal of plaster where applicable, making good adjoining surfaces, removal and disposal of debris</t>
  </si>
  <si>
    <t>43.00</t>
  </si>
  <si>
    <t>1.4</t>
  </si>
  <si>
    <t>Demolish external cavity walls (280-330mm thick), including removal of plaster, making good adjoining surfaces, removal and disposal of debris</t>
  </si>
  <si>
    <t>24.70</t>
  </si>
  <si>
    <t>1.5</t>
  </si>
  <si>
    <t>Demolish veranda columns and low walls, including removal and disposal of debris, making good adjoining surfaces</t>
  </si>
  <si>
    <t>8.80</t>
  </si>
  <si>
    <t>Subtotal - Demolition of Brick Walls</t>
  </si>
  <si>
    <t>2.0</t>
  </si>
  <si>
    <t>REMOVAL OF DOORS AND WINDOWS</t>
  </si>
  <si>
    <t>2.1</t>
  </si>
  <si>
    <t>Remove existing timber doors complete with frames and ironmongery, set aside for re-use or disposal as directed, make good wall openings</t>
  </si>
  <si>
    <t>10</t>
  </si>
  <si>
    <t>No.</t>
  </si>
  <si>
    <t>2.2</t>
  </si>
  <si>
    <t>Remove existing windows complete with frames and ironmongery, make good wall openings, remove and dispose of debris</t>
  </si>
  <si>
    <t>12</t>
  </si>
  <si>
    <t>Subtotal - Doors and Windows</t>
  </si>
  <si>
    <t>3.0</t>
  </si>
  <si>
    <t>REMOVAL OF BUILT-IN JOINERY</t>
  </si>
  <si>
    <t>3.1</t>
  </si>
  <si>
    <t>Demolish built-in cupboards including concrete soffits where applicable, remove and dispose of debris, make good walls and floors</t>
  </si>
  <si>
    <t>15.00</t>
  </si>
  <si>
    <t>m</t>
  </si>
  <si>
    <t>3.2</t>
  </si>
  <si>
    <t>Demolish existing built-in reception desk, remove and dispose of debris, make good floor to match existing timber flooring</t>
  </si>
  <si>
    <t>1</t>
  </si>
  <si>
    <t>3.3</t>
  </si>
  <si>
    <t>Demolish existing fireplace, remove and dispose of debris, make good wall opening</t>
  </si>
  <si>
    <t>3.4</t>
  </si>
  <si>
    <t>Demolish existing built-in joinery and open shelving, remove and dispose of debris, make good floor to match existing timber flooring</t>
  </si>
  <si>
    <t>Subtotal - Built-in Joinery</t>
  </si>
  <si>
    <t>4.0</t>
  </si>
  <si>
    <t>REMOVAL OF SANITARY WARE AND PLUMBING</t>
  </si>
  <si>
    <t>4.1</t>
  </si>
  <si>
    <t>Remove existing wash hand basins complete with taps and waste fittings, blank off water supply and drainage, make good walls</t>
  </si>
  <si>
    <t>9</t>
  </si>
  <si>
    <t>4.2</t>
  </si>
  <si>
    <t>Remove existing WC pans complete with cisterns and fittings, blank off water supply and drainage, make good walls and floors</t>
  </si>
  <si>
    <t>5</t>
  </si>
  <si>
    <t>4.3</t>
  </si>
  <si>
    <t>Remove existing sink complete with taps and waste fittings, blank off water supply and drainage, make good walls</t>
  </si>
  <si>
    <t>4.4</t>
  </si>
  <si>
    <t>Remove existing gulley, blank off drainage, make good area</t>
  </si>
  <si>
    <t>Subtotal - Sanitary Ware</t>
  </si>
  <si>
    <t>5.0</t>
  </si>
  <si>
    <t>REMOVAL OF FLOOR FINISHES</t>
  </si>
  <si>
    <t>5.1</t>
  </si>
  <si>
    <t>Remove existing timber flooring including battens where applicable, remove and dispose of debris, make good substrate</t>
  </si>
  <si>
    <t>45</t>
  </si>
  <si>
    <t>5.2</t>
  </si>
  <si>
    <t>Remove existing floor tiles including screed bed, remove and dispose of debris, make good substrate</t>
  </si>
  <si>
    <t>25</t>
  </si>
  <si>
    <t>Subtotal - Floor Finishes</t>
  </si>
  <si>
    <t>6.0</t>
  </si>
  <si>
    <t>EXTERNAL DEMOLITION WORKS</t>
  </si>
  <si>
    <t>6.1</t>
  </si>
  <si>
    <t>Demolish existing external paving, remove and dispose of debris, prepare for new paving as per drawings</t>
  </si>
  <si>
    <t>80</t>
  </si>
  <si>
    <t>6.2</t>
  </si>
  <si>
    <t>Demolish existing concrete slab including plumbing and drainage, terminate services properly, remove and dispose of debris, make good area</t>
  </si>
  <si>
    <t>6.3</t>
  </si>
  <si>
    <t>Demolish existing steps and nib walls, remove and dispose of debris, make good area</t>
  </si>
  <si>
    <t>6.4</t>
  </si>
  <si>
    <t>Remove existing gate, fence and boundary structures as shown on drawings, remove and dispose of debris, clean and make good areas</t>
  </si>
  <si>
    <t>Subtotal - External Works</t>
  </si>
  <si>
    <t>7.0</t>
  </si>
  <si>
    <t>ROOF STRUCTURE DEMOLITION</t>
  </si>
  <si>
    <t>7.1</t>
  </si>
  <si>
    <t>Demolish existing garage roof structure complete including trusses, purlins, bracing, roof covering, ceilings, and all associated components, remove and dispose of debris</t>
  </si>
  <si>
    <t>55</t>
  </si>
  <si>
    <t>7.2</t>
  </si>
  <si>
    <t>Demolish existing main building roof structure complete including trusses, purlins, bracing, roof covering, internal ceilings, and all associated components, remove and dispose of debris. New roof as per new roof plan</t>
  </si>
  <si>
    <t>280</t>
  </si>
  <si>
    <t>7.3</t>
  </si>
  <si>
    <t>Demolish existing veranda roof structure complete including roof covering, ceiling, and all associated components, remove and dispose of debris. New roof as per new roof plan</t>
  </si>
  <si>
    <t>35</t>
  </si>
  <si>
    <t>Subtotal - Roof Demolition</t>
  </si>
  <si>
    <t>8.0</t>
  </si>
  <si>
    <t>MAKING GOOD AND GENERAL ITEMS</t>
  </si>
  <si>
    <t>8.1</t>
  </si>
  <si>
    <t>General attendance on demolition works including protection of areas to remain, temporary support where required, cleaning as work proceeds, and final clean up on completion</t>
  </si>
  <si>
    <t>8.2</t>
  </si>
  <si>
    <t>Remove all vegetation, washing lines and external waste as indicated on demolition drawings, dispose of debris off site</t>
  </si>
  <si>
    <t>8.3</t>
  </si>
  <si>
    <t>Ensure wall made safe and stable during demolition of adjoining structure as shown on demolition plan</t>
  </si>
  <si>
    <t>Subtotal - General Items</t>
  </si>
  <si>
    <t>TOTAL CARRIED TO SUMMARY - DEMOLITIONS AND ALTERATIONS</t>
  </si>
  <si>
    <t>NOTES:</t>
  </si>
  <si>
    <t>1. All demolition work to be carried out in accordance with the demolition drawings A-01-1002 and A-01-1003</t>
  </si>
  <si>
    <t>2. All plumbing and drainage to be properly blanked off or terminated as indicated</t>
  </si>
  <si>
    <t>3. All debris to be removed from site and disposed of at licensed waste disposal facilities</t>
  </si>
  <si>
    <t>4. All areas to be made good to match existing finishes unless otherwise specified</t>
  </si>
  <si>
    <t>5. Existing ablution block to remain unaffected - area to be cleaned and made good</t>
  </si>
  <si>
    <t>6. Contractor to protect all areas to remain and ensure safe working at all times</t>
  </si>
  <si>
    <t>7. Rates to include for all labour, materials, plant, disposal and making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</si>
</sst>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4"/>
      <name val="Calibri"/>
    </font>
    <font>
      <b/>
      <sz val="12"/>
      <name val="Calibri"/>
    </font>
    <font>
      <b/>
      <sz val="11"/>
      <name val="Calibri"/>
    </font>
    <font>
      <b/>
      <sz val="11"/>
      <color rgb="FFFFFFFF"/>
      <name val="Calibri"/>
    </font>
    <font>
      <b/>
      <sz val="11"/>
      <name val="Calibri"/>
    </font>
    <font>
      <b/>
      <sz val="10"/>
      <name val="Calibri"/>
    </font>
  </fonts>
  <fills count="6">
    <fill>
      <patternFill patternType="none"/>
    </fill>
    <fill>
      <patternFill patternType="gray125"/>
    </fill>
    <fill>
      <patternFill patternType="solid">
        <fgColor rgb="FF366092"/>
        <bgColor rgb="FF366092"/>
      </patternFill>
    </fill>
    <fill>
      <patternFill patternType="solid">
        <fgColor rgb="FFD9E1F2"/>
        <bgColor rgb="FFD9E1F2"/>
      </patternFill>
    </fill>
    <fill>
      <patternFill patternType="solid">
        <fgColor rgb="FFF2F2F2"/>
        <bgColor rgb="FFF2F2F2"/>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4"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xf>
    <xf numFmtId="4" fontId="0" fillId="0" borderId="1" xfId="0" applyNumberFormat="1" applyBorder="1" applyAlignment="1">
      <alignment horizontal="right" vertical="center"/>
    </xf>
    <xf numFmtId="0" fontId="6" fillId="3" borderId="1" xfId="0" applyFont="1" applyFill="1" applyBorder="1" applyAlignment="1">
      <alignment horizontal="center" vertical="center"/>
    </xf>
    <xf numFmtId="0" fontId="5" fillId="0" borderId="1" xfId="0" applyFont="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left" vertical="center" wrapText="1"/>
    </xf>
    <xf numFmtId="4" fontId="5" fillId="4" borderId="1" xfId="0" applyNumberFormat="1" applyFont="1" applyFill="1" applyBorder="1" applyAlignment="1">
      <alignment horizontal="right" vertical="center"/>
    </xf>
    <xf numFmtId="0" fontId="5" fillId="4" borderId="1" xfId="0" applyFont="1" applyFill="1" applyBorder="1" applyAlignment="1">
      <alignment horizontal="right" vertical="center"/>
    </xf>
    <xf numFmtId="0" fontId="6" fillId="0" borderId="0" xfId="0" applyFont="1"/>
    <xf numFmtId="0" fontId="2" fillId="0" borderId="0" xfId="0" applyFont="1"/>
    <xf numFmtId="0" fontId="0" fillId="0" borderId="0" xfId="0"/>
    <xf numFmtId="0" fontId="0" fillId="0" borderId="0" xfId="0" applyAlignment="1">
      <alignment horizontal="left" vertical="center" wrapText="1"/>
    </xf>
    <xf numFmtId="0" fontId="1" fillId="0" borderId="0" xfId="0" applyFont="1"/>
    <xf numFmtId="0" fontId="3" fillId="0" borderId="0" xfId="0" applyFont="1"/>
    <xf numFmtId="0" fontId="0" fillId="5" borderId="1" xfId="0" applyFill="1" applyBorder="1" applyAlignment="1">
      <alignment horizontal="left" vertical="center" wrapText="1"/>
    </xf>
    <xf numFmtId="0" fontId="0" fillId="5" borderId="1" xfId="0" applyFill="1" applyBorder="1" applyAlignment="1">
      <alignment horizontal="right" vertical="center"/>
    </xf>
    <xf numFmtId="0" fontId="0" fillId="5" borderId="1"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6"/>
  <sheetViews>
    <sheetView tabSelected="1" topLeftCell="A20" workbookViewId="0">
      <selection activeCell="B49" sqref="B49"/>
    </sheetView>
  </sheetViews>
  <sheetFormatPr defaultRowHeight="14.4"/>
  <cols>
    <col min="1" max="1" width="8" customWidth="1"/>
    <col min="2" max="2" width="60" customWidth="1"/>
    <col min="3" max="3" width="12" customWidth="1"/>
    <col min="4" max="4" width="10" customWidth="1"/>
    <col min="5" max="5" width="12" customWidth="1"/>
    <col min="6" max="6" width="15" customWidth="1"/>
  </cols>
  <sheetData>
    <row r="1" spans="1:6" ht="18">
      <c r="A1" s="16" t="s">
        <v>0</v>
      </c>
      <c r="B1" s="14"/>
      <c r="C1" s="14"/>
      <c r="D1" s="14"/>
      <c r="E1" s="14"/>
      <c r="F1" s="14"/>
    </row>
    <row r="2" spans="1:6" ht="15.6">
      <c r="A2" s="13" t="s">
        <v>1</v>
      </c>
      <c r="B2" s="14"/>
      <c r="C2" s="14"/>
      <c r="D2" s="14"/>
      <c r="E2" s="14"/>
      <c r="F2" s="14"/>
    </row>
    <row r="3" spans="1:6" ht="15.6">
      <c r="A3" s="13" t="s">
        <v>2</v>
      </c>
      <c r="B3" s="14"/>
      <c r="C3" s="14"/>
      <c r="D3" s="14"/>
      <c r="E3" s="14"/>
      <c r="F3" s="14"/>
    </row>
    <row r="5" spans="1:6">
      <c r="A5" s="17" t="s">
        <v>3</v>
      </c>
      <c r="B5" s="14"/>
      <c r="C5" s="14"/>
      <c r="D5" s="14"/>
      <c r="E5" s="14"/>
      <c r="F5" s="14"/>
    </row>
    <row r="7" spans="1:6">
      <c r="A7" s="1" t="s">
        <v>4</v>
      </c>
      <c r="B7" s="1" t="s">
        <v>5</v>
      </c>
      <c r="C7" s="1" t="s">
        <v>6</v>
      </c>
      <c r="D7" s="1" t="s">
        <v>7</v>
      </c>
      <c r="E7" s="1" t="s">
        <v>8</v>
      </c>
      <c r="F7" s="1" t="s">
        <v>9</v>
      </c>
    </row>
    <row r="8" spans="1:6">
      <c r="A8" s="2"/>
      <c r="B8" s="3"/>
      <c r="C8" s="4"/>
      <c r="D8" s="2"/>
      <c r="E8" s="5"/>
      <c r="F8" s="5"/>
    </row>
    <row r="9" spans="1:6">
      <c r="A9" s="6" t="s">
        <v>10</v>
      </c>
      <c r="B9" s="3" t="s">
        <v>11</v>
      </c>
      <c r="C9" s="4"/>
      <c r="D9" s="2"/>
      <c r="E9" s="5"/>
      <c r="F9" s="5"/>
    </row>
    <row r="10" spans="1:6">
      <c r="A10" s="2"/>
      <c r="B10" s="3"/>
      <c r="C10" s="4"/>
      <c r="D10" s="2"/>
      <c r="E10" s="5"/>
      <c r="F10" s="5"/>
    </row>
    <row r="11" spans="1:6" ht="28.8">
      <c r="A11" s="7" t="s">
        <v>12</v>
      </c>
      <c r="B11" s="18" t="s">
        <v>13</v>
      </c>
      <c r="C11" s="19" t="s">
        <v>14</v>
      </c>
      <c r="D11" s="2" t="s">
        <v>15</v>
      </c>
      <c r="E11" s="5"/>
      <c r="F11" s="5">
        <f>C11*E11</f>
        <v>0</v>
      </c>
    </row>
    <row r="12" spans="1:6">
      <c r="A12" s="2"/>
      <c r="B12" s="18"/>
      <c r="C12" s="19"/>
      <c r="D12" s="2"/>
      <c r="E12" s="5"/>
      <c r="F12" s="5"/>
    </row>
    <row r="13" spans="1:6" ht="28.8">
      <c r="A13" s="7" t="s">
        <v>16</v>
      </c>
      <c r="B13" s="18" t="s">
        <v>17</v>
      </c>
      <c r="C13" s="19" t="s">
        <v>18</v>
      </c>
      <c r="D13" s="2" t="s">
        <v>15</v>
      </c>
      <c r="E13" s="5"/>
      <c r="F13" s="5">
        <f>C13*E13</f>
        <v>0</v>
      </c>
    </row>
    <row r="14" spans="1:6">
      <c r="A14" s="2"/>
      <c r="B14" s="18"/>
      <c r="C14" s="19"/>
      <c r="D14" s="2"/>
      <c r="E14" s="5"/>
      <c r="F14" s="5"/>
    </row>
    <row r="15" spans="1:6" ht="43.2">
      <c r="A15" s="7" t="s">
        <v>19</v>
      </c>
      <c r="B15" s="18" t="s">
        <v>20</v>
      </c>
      <c r="C15" s="19" t="s">
        <v>21</v>
      </c>
      <c r="D15" s="2" t="s">
        <v>15</v>
      </c>
      <c r="E15" s="5"/>
      <c r="F15" s="5">
        <f>C15*E15</f>
        <v>0</v>
      </c>
    </row>
    <row r="16" spans="1:6">
      <c r="A16" s="2"/>
      <c r="B16" s="18"/>
      <c r="C16" s="19"/>
      <c r="D16" s="2"/>
      <c r="E16" s="5"/>
      <c r="F16" s="5"/>
    </row>
    <row r="17" spans="1:6" ht="28.8">
      <c r="A17" s="7" t="s">
        <v>22</v>
      </c>
      <c r="B17" s="18" t="s">
        <v>23</v>
      </c>
      <c r="C17" s="19" t="s">
        <v>24</v>
      </c>
      <c r="D17" s="2" t="s">
        <v>15</v>
      </c>
      <c r="E17" s="5"/>
      <c r="F17" s="5">
        <f>C17*E17</f>
        <v>0</v>
      </c>
    </row>
    <row r="18" spans="1:6">
      <c r="A18" s="2"/>
      <c r="B18" s="3"/>
      <c r="C18" s="4"/>
      <c r="D18" s="2"/>
      <c r="E18" s="5"/>
      <c r="F18" s="5"/>
    </row>
    <row r="19" spans="1:6" ht="28.8">
      <c r="A19" s="7" t="s">
        <v>25</v>
      </c>
      <c r="B19" s="3" t="s">
        <v>26</v>
      </c>
      <c r="C19" s="4" t="s">
        <v>27</v>
      </c>
      <c r="D19" s="2" t="s">
        <v>15</v>
      </c>
      <c r="E19" s="5"/>
      <c r="F19" s="5">
        <f>C19*E19</f>
        <v>0</v>
      </c>
    </row>
    <row r="20" spans="1:6">
      <c r="A20" s="2"/>
      <c r="B20" s="3"/>
      <c r="C20" s="4"/>
      <c r="D20" s="2"/>
      <c r="E20" s="5"/>
      <c r="F20" s="5"/>
    </row>
    <row r="21" spans="1:6">
      <c r="A21" s="8"/>
      <c r="B21" s="9" t="s">
        <v>28</v>
      </c>
      <c r="C21" s="10">
        <f>SUM(C11,C13,C15,C17,C19)</f>
        <v>0</v>
      </c>
      <c r="D21" s="8" t="s">
        <v>15</v>
      </c>
      <c r="E21" s="10"/>
      <c r="F21" s="10">
        <f>SUM(F11,F13,F15,F17,F19)</f>
        <v>0</v>
      </c>
    </row>
    <row r="22" spans="1:6">
      <c r="A22" s="2"/>
      <c r="B22" s="3"/>
      <c r="C22" s="4"/>
      <c r="D22" s="2"/>
      <c r="E22" s="5"/>
      <c r="F22" s="5"/>
    </row>
    <row r="23" spans="1:6">
      <c r="A23" s="6" t="s">
        <v>29</v>
      </c>
      <c r="B23" s="3" t="s">
        <v>30</v>
      </c>
      <c r="C23" s="4"/>
      <c r="D23" s="2"/>
      <c r="E23" s="5"/>
      <c r="F23" s="5"/>
    </row>
    <row r="24" spans="1:6">
      <c r="A24" s="2"/>
      <c r="B24" s="3"/>
      <c r="C24" s="4"/>
      <c r="D24" s="2"/>
      <c r="E24" s="5"/>
      <c r="F24" s="5"/>
    </row>
    <row r="25" spans="1:6" ht="28.8">
      <c r="A25" s="7" t="s">
        <v>31</v>
      </c>
      <c r="B25" s="18" t="s">
        <v>32</v>
      </c>
      <c r="C25" s="19" t="s">
        <v>33</v>
      </c>
      <c r="D25" s="2" t="s">
        <v>34</v>
      </c>
      <c r="E25" s="5"/>
      <c r="F25" s="5">
        <f>C25*E25</f>
        <v>0</v>
      </c>
    </row>
    <row r="26" spans="1:6">
      <c r="A26" s="2"/>
      <c r="B26" s="18"/>
      <c r="C26" s="19"/>
      <c r="D26" s="2"/>
      <c r="E26" s="5"/>
      <c r="F26" s="5"/>
    </row>
    <row r="27" spans="1:6" ht="28.8">
      <c r="A27" s="7" t="s">
        <v>35</v>
      </c>
      <c r="B27" s="3" t="s">
        <v>36</v>
      </c>
      <c r="C27" s="4" t="s">
        <v>37</v>
      </c>
      <c r="D27" s="2" t="s">
        <v>34</v>
      </c>
      <c r="E27" s="5"/>
      <c r="F27" s="5">
        <f>C27*E27</f>
        <v>0</v>
      </c>
    </row>
    <row r="28" spans="1:6">
      <c r="A28" s="2"/>
      <c r="B28" s="3"/>
      <c r="C28" s="4"/>
      <c r="D28" s="2"/>
      <c r="E28" s="5"/>
      <c r="F28" s="5"/>
    </row>
    <row r="29" spans="1:6">
      <c r="A29" s="8"/>
      <c r="B29" s="9" t="s">
        <v>38</v>
      </c>
      <c r="C29" s="10">
        <f>C25+C27</f>
        <v>22</v>
      </c>
      <c r="D29" s="8" t="s">
        <v>34</v>
      </c>
      <c r="E29" s="10"/>
      <c r="F29" s="10">
        <f>SUM(F25,F27)</f>
        <v>0</v>
      </c>
    </row>
    <row r="30" spans="1:6">
      <c r="A30" s="2"/>
      <c r="B30" s="3"/>
      <c r="C30" s="4"/>
      <c r="D30" s="2"/>
      <c r="E30" s="5"/>
      <c r="F30" s="5"/>
    </row>
    <row r="31" spans="1:6">
      <c r="A31" s="6" t="s">
        <v>39</v>
      </c>
      <c r="B31" s="3" t="s">
        <v>40</v>
      </c>
      <c r="C31" s="4"/>
      <c r="D31" s="2"/>
      <c r="E31" s="5"/>
      <c r="F31" s="5"/>
    </row>
    <row r="32" spans="1:6">
      <c r="A32" s="2"/>
      <c r="B32" s="3"/>
      <c r="C32" s="4"/>
      <c r="D32" s="2"/>
      <c r="E32" s="5"/>
      <c r="F32" s="5"/>
    </row>
    <row r="33" spans="1:6" ht="28.8">
      <c r="A33" s="7" t="s">
        <v>41</v>
      </c>
      <c r="B33" s="3" t="s">
        <v>42</v>
      </c>
      <c r="C33" s="4" t="s">
        <v>43</v>
      </c>
      <c r="D33" s="2" t="s">
        <v>44</v>
      </c>
      <c r="E33" s="5"/>
      <c r="F33" s="5">
        <f>C33*E33</f>
        <v>0</v>
      </c>
    </row>
    <row r="34" spans="1:6">
      <c r="A34" s="2"/>
      <c r="B34" s="3"/>
      <c r="C34" s="4"/>
      <c r="D34" s="2"/>
      <c r="E34" s="5"/>
      <c r="F34" s="5"/>
    </row>
    <row r="35" spans="1:6" ht="28.8">
      <c r="A35" s="7" t="s">
        <v>45</v>
      </c>
      <c r="B35" s="3" t="s">
        <v>46</v>
      </c>
      <c r="C35" s="4" t="s">
        <v>47</v>
      </c>
      <c r="D35" s="2" t="s">
        <v>34</v>
      </c>
      <c r="E35" s="5"/>
      <c r="F35" s="5">
        <f>C35*E35</f>
        <v>0</v>
      </c>
    </row>
    <row r="36" spans="1:6">
      <c r="A36" s="2"/>
      <c r="B36" s="3"/>
      <c r="C36" s="4"/>
      <c r="D36" s="2"/>
      <c r="E36" s="5"/>
      <c r="F36" s="5"/>
    </row>
    <row r="37" spans="1:6" ht="28.8">
      <c r="A37" s="7" t="s">
        <v>48</v>
      </c>
      <c r="B37" s="3" t="s">
        <v>49</v>
      </c>
      <c r="C37" s="4" t="s">
        <v>47</v>
      </c>
      <c r="D37" s="2" t="s">
        <v>34</v>
      </c>
      <c r="E37" s="5"/>
      <c r="F37" s="5">
        <f>C37*E37</f>
        <v>0</v>
      </c>
    </row>
    <row r="38" spans="1:6">
      <c r="A38" s="2"/>
      <c r="B38" s="3"/>
      <c r="C38" s="4"/>
      <c r="D38" s="2"/>
      <c r="E38" s="5"/>
      <c r="F38" s="5"/>
    </row>
    <row r="39" spans="1:6" ht="28.8">
      <c r="A39" s="7" t="s">
        <v>50</v>
      </c>
      <c r="B39" s="3" t="s">
        <v>51</v>
      </c>
      <c r="C39" s="4" t="s">
        <v>47</v>
      </c>
      <c r="D39" s="2" t="s">
        <v>4</v>
      </c>
      <c r="E39" s="5"/>
      <c r="F39" s="5">
        <f>C39*E39</f>
        <v>0</v>
      </c>
    </row>
    <row r="40" spans="1:6">
      <c r="A40" s="2"/>
      <c r="B40" s="3"/>
      <c r="C40" s="4"/>
      <c r="D40" s="2"/>
      <c r="E40" s="5"/>
      <c r="F40" s="5"/>
    </row>
    <row r="41" spans="1:6">
      <c r="A41" s="8"/>
      <c r="B41" s="9" t="s">
        <v>52</v>
      </c>
      <c r="C41" s="11"/>
      <c r="D41" s="8"/>
      <c r="E41" s="10"/>
      <c r="F41" s="10">
        <f>SUM(F33,F35,F37,F39)</f>
        <v>0</v>
      </c>
    </row>
    <row r="42" spans="1:6">
      <c r="A42" s="2"/>
      <c r="B42" s="3"/>
      <c r="C42" s="4"/>
      <c r="D42" s="2"/>
      <c r="E42" s="5"/>
      <c r="F42" s="5"/>
    </row>
    <row r="43" spans="1:6">
      <c r="A43" s="6" t="s">
        <v>53</v>
      </c>
      <c r="B43" s="18" t="s">
        <v>54</v>
      </c>
      <c r="C43" s="19"/>
      <c r="D43" s="20"/>
      <c r="E43" s="5"/>
      <c r="F43" s="5"/>
    </row>
    <row r="44" spans="1:6">
      <c r="A44" s="2"/>
      <c r="B44" s="18"/>
      <c r="C44" s="19"/>
      <c r="D44" s="20"/>
      <c r="E44" s="5"/>
      <c r="F44" s="5"/>
    </row>
    <row r="45" spans="1:6" ht="28.8">
      <c r="A45" s="7" t="s">
        <v>55</v>
      </c>
      <c r="B45" s="18" t="s">
        <v>56</v>
      </c>
      <c r="C45" s="19" t="s">
        <v>57</v>
      </c>
      <c r="D45" s="20" t="s">
        <v>34</v>
      </c>
      <c r="E45" s="5"/>
      <c r="F45" s="5">
        <f>C45*E45</f>
        <v>0</v>
      </c>
    </row>
    <row r="46" spans="1:6">
      <c r="A46" s="2"/>
      <c r="B46" s="18"/>
      <c r="C46" s="19"/>
      <c r="D46" s="20"/>
      <c r="E46" s="5"/>
      <c r="F46" s="5"/>
    </row>
    <row r="47" spans="1:6" ht="28.8">
      <c r="A47" s="7" t="s">
        <v>58</v>
      </c>
      <c r="B47" s="18" t="s">
        <v>59</v>
      </c>
      <c r="C47" s="19" t="s">
        <v>60</v>
      </c>
      <c r="D47" s="20" t="s">
        <v>34</v>
      </c>
      <c r="E47" s="5"/>
      <c r="F47" s="5">
        <f>C47*E47</f>
        <v>0</v>
      </c>
    </row>
    <row r="48" spans="1:6">
      <c r="A48" s="2"/>
      <c r="B48" s="18"/>
      <c r="C48" s="19"/>
      <c r="D48" s="20"/>
      <c r="E48" s="5"/>
      <c r="F48" s="5"/>
    </row>
    <row r="49" spans="1:6" ht="28.8">
      <c r="A49" s="7" t="s">
        <v>61</v>
      </c>
      <c r="B49" s="18" t="s">
        <v>62</v>
      </c>
      <c r="C49" s="19" t="s">
        <v>47</v>
      </c>
      <c r="D49" s="20" t="s">
        <v>34</v>
      </c>
      <c r="E49" s="5"/>
      <c r="F49" s="5">
        <f>C49*E49</f>
        <v>0</v>
      </c>
    </row>
    <row r="50" spans="1:6">
      <c r="A50" s="2"/>
      <c r="B50" s="18"/>
      <c r="C50" s="19"/>
      <c r="D50" s="20"/>
      <c r="E50" s="5"/>
      <c r="F50" s="5"/>
    </row>
    <row r="51" spans="1:6">
      <c r="A51" s="7" t="s">
        <v>63</v>
      </c>
      <c r="B51" s="18" t="s">
        <v>64</v>
      </c>
      <c r="C51" s="19" t="s">
        <v>47</v>
      </c>
      <c r="D51" s="20" t="s">
        <v>34</v>
      </c>
      <c r="E51" s="5"/>
      <c r="F51" s="5">
        <f>C51*E51</f>
        <v>0</v>
      </c>
    </row>
    <row r="52" spans="1:6">
      <c r="A52" s="2"/>
      <c r="B52" s="3"/>
      <c r="C52" s="4"/>
      <c r="D52" s="2"/>
      <c r="E52" s="5"/>
      <c r="F52" s="5"/>
    </row>
    <row r="53" spans="1:6">
      <c r="A53" s="8"/>
      <c r="B53" s="9" t="s">
        <v>65</v>
      </c>
      <c r="C53" s="10">
        <f>C45+C47+C49+C51</f>
        <v>16</v>
      </c>
      <c r="D53" s="8" t="s">
        <v>34</v>
      </c>
      <c r="E53" s="10"/>
      <c r="F53" s="10">
        <f>SUM(F45,F47,F49,F51)</f>
        <v>0</v>
      </c>
    </row>
    <row r="54" spans="1:6">
      <c r="A54" s="2"/>
      <c r="B54" s="3"/>
      <c r="C54" s="4"/>
      <c r="D54" s="2"/>
      <c r="E54" s="5"/>
      <c r="F54" s="5"/>
    </row>
    <row r="55" spans="1:6">
      <c r="A55" s="6" t="s">
        <v>66</v>
      </c>
      <c r="B55" s="3" t="s">
        <v>67</v>
      </c>
      <c r="C55" s="4"/>
      <c r="D55" s="2"/>
      <c r="E55" s="5"/>
      <c r="F55" s="5"/>
    </row>
    <row r="56" spans="1:6">
      <c r="A56" s="2"/>
      <c r="B56" s="3"/>
      <c r="C56" s="4"/>
      <c r="D56" s="2"/>
      <c r="E56" s="5"/>
      <c r="F56" s="5"/>
    </row>
    <row r="57" spans="1:6" ht="28.8">
      <c r="A57" s="7" t="s">
        <v>68</v>
      </c>
      <c r="B57" s="3" t="s">
        <v>69</v>
      </c>
      <c r="C57" s="4" t="s">
        <v>70</v>
      </c>
      <c r="D57" s="2" t="s">
        <v>15</v>
      </c>
      <c r="E57" s="5"/>
      <c r="F57" s="5">
        <f>C57*E57</f>
        <v>0</v>
      </c>
    </row>
    <row r="58" spans="1:6">
      <c r="A58" s="2"/>
      <c r="B58" s="3"/>
      <c r="C58" s="4"/>
      <c r="D58" s="2"/>
      <c r="E58" s="5"/>
      <c r="F58" s="5"/>
    </row>
    <row r="59" spans="1:6" ht="28.8">
      <c r="A59" s="7" t="s">
        <v>71</v>
      </c>
      <c r="B59" s="3" t="s">
        <v>72</v>
      </c>
      <c r="C59" s="4" t="s">
        <v>73</v>
      </c>
      <c r="D59" s="2" t="s">
        <v>15</v>
      </c>
      <c r="E59" s="5"/>
      <c r="F59" s="5">
        <f>C59*E59</f>
        <v>0</v>
      </c>
    </row>
    <row r="60" spans="1:6">
      <c r="A60" s="2"/>
      <c r="B60" s="3"/>
      <c r="C60" s="4"/>
      <c r="D60" s="2"/>
      <c r="E60" s="5"/>
      <c r="F60" s="5"/>
    </row>
    <row r="61" spans="1:6">
      <c r="A61" s="8"/>
      <c r="B61" s="9" t="s">
        <v>74</v>
      </c>
      <c r="C61" s="10">
        <f>C57+C59</f>
        <v>70</v>
      </c>
      <c r="D61" s="8" t="s">
        <v>15</v>
      </c>
      <c r="E61" s="10"/>
      <c r="F61" s="10">
        <f>SUM(F57,F59)</f>
        <v>0</v>
      </c>
    </row>
    <row r="62" spans="1:6">
      <c r="A62" s="2"/>
      <c r="B62" s="3"/>
      <c r="C62" s="4"/>
      <c r="D62" s="2"/>
      <c r="E62" s="5"/>
      <c r="F62" s="5"/>
    </row>
    <row r="63" spans="1:6">
      <c r="A63" s="6" t="s">
        <v>75</v>
      </c>
      <c r="B63" s="3" t="s">
        <v>76</v>
      </c>
      <c r="C63" s="4"/>
      <c r="D63" s="2"/>
      <c r="E63" s="5"/>
      <c r="F63" s="5"/>
    </row>
    <row r="64" spans="1:6">
      <c r="A64" s="2"/>
      <c r="B64" s="3"/>
      <c r="C64" s="4"/>
      <c r="D64" s="2"/>
      <c r="E64" s="5"/>
      <c r="F64" s="5"/>
    </row>
    <row r="65" spans="1:6" ht="28.8">
      <c r="A65" s="7" t="s">
        <v>77</v>
      </c>
      <c r="B65" s="3" t="s">
        <v>78</v>
      </c>
      <c r="C65" s="4" t="s">
        <v>79</v>
      </c>
      <c r="D65" s="2" t="s">
        <v>15</v>
      </c>
      <c r="E65" s="5"/>
      <c r="F65" s="5">
        <f>C65*E65</f>
        <v>0</v>
      </c>
    </row>
    <row r="66" spans="1:6">
      <c r="A66" s="2"/>
      <c r="B66" s="3"/>
      <c r="C66" s="4"/>
      <c r="D66" s="2"/>
      <c r="E66" s="5"/>
      <c r="F66" s="5"/>
    </row>
    <row r="67" spans="1:6" ht="43.2">
      <c r="A67" s="7" t="s">
        <v>80</v>
      </c>
      <c r="B67" s="3" t="s">
        <v>81</v>
      </c>
      <c r="C67" s="4" t="s">
        <v>37</v>
      </c>
      <c r="D67" s="2" t="s">
        <v>15</v>
      </c>
      <c r="E67" s="5"/>
      <c r="F67" s="5">
        <f>C67*E67</f>
        <v>0</v>
      </c>
    </row>
    <row r="68" spans="1:6">
      <c r="A68" s="2"/>
      <c r="B68" s="3"/>
      <c r="C68" s="4"/>
      <c r="D68" s="2"/>
      <c r="E68" s="5"/>
      <c r="F68" s="5"/>
    </row>
    <row r="69" spans="1:6" ht="28.8">
      <c r="A69" s="7" t="s">
        <v>82</v>
      </c>
      <c r="B69" s="3" t="s">
        <v>83</v>
      </c>
      <c r="C69" s="4" t="s">
        <v>47</v>
      </c>
      <c r="D69" s="2" t="s">
        <v>4</v>
      </c>
      <c r="E69" s="5"/>
      <c r="F69" s="5">
        <f>C69*E69</f>
        <v>0</v>
      </c>
    </row>
    <row r="70" spans="1:6">
      <c r="A70" s="2"/>
      <c r="B70" s="3"/>
      <c r="C70" s="4"/>
      <c r="D70" s="2"/>
      <c r="E70" s="5"/>
      <c r="F70" s="5"/>
    </row>
    <row r="71" spans="1:6" ht="28.8">
      <c r="A71" s="7" t="s">
        <v>84</v>
      </c>
      <c r="B71" s="3" t="s">
        <v>85</v>
      </c>
      <c r="C71" s="4" t="s">
        <v>47</v>
      </c>
      <c r="D71" s="2" t="s">
        <v>4</v>
      </c>
      <c r="E71" s="5"/>
      <c r="F71" s="5">
        <f>C71*E71</f>
        <v>0</v>
      </c>
    </row>
    <row r="72" spans="1:6">
      <c r="A72" s="2"/>
      <c r="B72" s="3"/>
      <c r="C72" s="4"/>
      <c r="D72" s="2"/>
      <c r="E72" s="5"/>
      <c r="F72" s="5"/>
    </row>
    <row r="73" spans="1:6">
      <c r="A73" s="8"/>
      <c r="B73" s="9" t="s">
        <v>86</v>
      </c>
      <c r="C73" s="11"/>
      <c r="D73" s="8"/>
      <c r="E73" s="10"/>
      <c r="F73" s="10">
        <f>SUM(F65,F67,F69,F71)</f>
        <v>0</v>
      </c>
    </row>
    <row r="74" spans="1:6">
      <c r="A74" s="2"/>
      <c r="B74" s="3"/>
      <c r="C74" s="4"/>
      <c r="D74" s="2"/>
      <c r="E74" s="5"/>
      <c r="F74" s="5"/>
    </row>
    <row r="75" spans="1:6">
      <c r="A75" s="6" t="s">
        <v>87</v>
      </c>
      <c r="B75" s="3" t="s">
        <v>88</v>
      </c>
      <c r="C75" s="4"/>
      <c r="D75" s="2"/>
      <c r="E75" s="5"/>
      <c r="F75" s="5"/>
    </row>
    <row r="76" spans="1:6">
      <c r="A76" s="2"/>
      <c r="B76" s="3"/>
      <c r="C76" s="4"/>
      <c r="D76" s="2"/>
      <c r="E76" s="5"/>
      <c r="F76" s="5"/>
    </row>
    <row r="77" spans="1:6" ht="43.2">
      <c r="A77" s="7" t="s">
        <v>89</v>
      </c>
      <c r="B77" s="3" t="s">
        <v>90</v>
      </c>
      <c r="C77" s="4" t="s">
        <v>91</v>
      </c>
      <c r="D77" s="2" t="s">
        <v>15</v>
      </c>
      <c r="E77" s="5"/>
      <c r="F77" s="5">
        <f>C77*E77</f>
        <v>0</v>
      </c>
    </row>
    <row r="78" spans="1:6">
      <c r="A78" s="2"/>
      <c r="B78" s="3"/>
      <c r="C78" s="4"/>
      <c r="D78" s="2"/>
      <c r="E78" s="5"/>
      <c r="F78" s="5"/>
    </row>
    <row r="79" spans="1:6" ht="57.6">
      <c r="A79" s="7" t="s">
        <v>92</v>
      </c>
      <c r="B79" s="3" t="s">
        <v>93</v>
      </c>
      <c r="C79" s="4" t="s">
        <v>94</v>
      </c>
      <c r="D79" s="2" t="s">
        <v>15</v>
      </c>
      <c r="E79" s="5"/>
      <c r="F79" s="5">
        <f>C79*E79</f>
        <v>0</v>
      </c>
    </row>
    <row r="80" spans="1:6">
      <c r="A80" s="2"/>
      <c r="B80" s="3"/>
      <c r="C80" s="4"/>
      <c r="D80" s="2"/>
      <c r="E80" s="5"/>
      <c r="F80" s="5"/>
    </row>
    <row r="81" spans="1:6" ht="43.2">
      <c r="A81" s="7" t="s">
        <v>95</v>
      </c>
      <c r="B81" s="3" t="s">
        <v>96</v>
      </c>
      <c r="C81" s="4" t="s">
        <v>97</v>
      </c>
      <c r="D81" s="2" t="s">
        <v>15</v>
      </c>
      <c r="E81" s="5"/>
      <c r="F81" s="5">
        <f>C81*E81</f>
        <v>0</v>
      </c>
    </row>
    <row r="82" spans="1:6">
      <c r="A82" s="2"/>
      <c r="B82" s="3"/>
      <c r="C82" s="4"/>
      <c r="D82" s="2"/>
      <c r="E82" s="5"/>
      <c r="F82" s="5"/>
    </row>
    <row r="83" spans="1:6">
      <c r="A83" s="8"/>
      <c r="B83" s="9" t="s">
        <v>98</v>
      </c>
      <c r="C83" s="10">
        <f>C77+C79+C81</f>
        <v>370</v>
      </c>
      <c r="D83" s="8" t="s">
        <v>15</v>
      </c>
      <c r="E83" s="10"/>
      <c r="F83" s="10">
        <f>SUM(F77,F79,F81)</f>
        <v>0</v>
      </c>
    </row>
    <row r="84" spans="1:6">
      <c r="A84" s="2"/>
      <c r="B84" s="3"/>
      <c r="C84" s="4"/>
      <c r="D84" s="2"/>
      <c r="E84" s="5"/>
      <c r="F84" s="5"/>
    </row>
    <row r="85" spans="1:6">
      <c r="A85" s="6" t="s">
        <v>99</v>
      </c>
      <c r="B85" s="3" t="s">
        <v>100</v>
      </c>
      <c r="C85" s="4"/>
      <c r="D85" s="2"/>
      <c r="E85" s="5"/>
      <c r="F85" s="5"/>
    </row>
    <row r="86" spans="1:6">
      <c r="A86" s="2"/>
      <c r="B86" s="3"/>
      <c r="C86" s="4"/>
      <c r="D86" s="2"/>
      <c r="E86" s="5"/>
      <c r="F86" s="5"/>
    </row>
    <row r="87" spans="1:6" ht="43.2">
      <c r="A87" s="7" t="s">
        <v>101</v>
      </c>
      <c r="B87" s="3" t="s">
        <v>102</v>
      </c>
      <c r="C87" s="4" t="s">
        <v>47</v>
      </c>
      <c r="D87" s="2" t="s">
        <v>4</v>
      </c>
      <c r="E87" s="5"/>
      <c r="F87" s="5">
        <f>C87*E87</f>
        <v>0</v>
      </c>
    </row>
    <row r="88" spans="1:6">
      <c r="A88" s="2"/>
      <c r="B88" s="3"/>
      <c r="C88" s="4"/>
      <c r="D88" s="2"/>
      <c r="E88" s="5"/>
      <c r="F88" s="5"/>
    </row>
    <row r="89" spans="1:6" ht="28.8">
      <c r="A89" s="7" t="s">
        <v>103</v>
      </c>
      <c r="B89" s="3" t="s">
        <v>104</v>
      </c>
      <c r="C89" s="4" t="s">
        <v>47</v>
      </c>
      <c r="D89" s="2" t="s">
        <v>4</v>
      </c>
      <c r="E89" s="5"/>
      <c r="F89" s="5">
        <f>C89*E89</f>
        <v>0</v>
      </c>
    </row>
    <row r="90" spans="1:6">
      <c r="A90" s="2"/>
      <c r="B90" s="3"/>
      <c r="C90" s="4"/>
      <c r="D90" s="2"/>
      <c r="E90" s="5"/>
      <c r="F90" s="5"/>
    </row>
    <row r="91" spans="1:6" ht="28.8">
      <c r="A91" s="7" t="s">
        <v>105</v>
      </c>
      <c r="B91" s="3" t="s">
        <v>106</v>
      </c>
      <c r="C91" s="4" t="s">
        <v>47</v>
      </c>
      <c r="D91" s="2" t="s">
        <v>4</v>
      </c>
      <c r="E91" s="5"/>
      <c r="F91" s="5">
        <f>C91*E91</f>
        <v>0</v>
      </c>
    </row>
    <row r="92" spans="1:6">
      <c r="A92" s="2"/>
      <c r="B92" s="3"/>
      <c r="C92" s="4"/>
      <c r="D92" s="2"/>
      <c r="E92" s="5"/>
      <c r="F92" s="5"/>
    </row>
    <row r="93" spans="1:6">
      <c r="A93" s="8"/>
      <c r="B93" s="9" t="s">
        <v>107</v>
      </c>
      <c r="C93" s="11"/>
      <c r="D93" s="8"/>
      <c r="E93" s="10"/>
      <c r="F93" s="10">
        <f>SUM(F87,F89,F91)</f>
        <v>0</v>
      </c>
    </row>
    <row r="94" spans="1:6">
      <c r="A94" s="2"/>
      <c r="B94" s="3"/>
      <c r="C94" s="4"/>
      <c r="D94" s="2"/>
      <c r="E94" s="5"/>
      <c r="F94" s="5"/>
    </row>
    <row r="95" spans="1:6">
      <c r="A95" s="2"/>
      <c r="B95" s="3"/>
      <c r="C95" s="4"/>
      <c r="D95" s="2"/>
      <c r="E95" s="5"/>
      <c r="F95" s="5"/>
    </row>
    <row r="96" spans="1:6">
      <c r="A96" s="8"/>
      <c r="B96" s="9" t="s">
        <v>108</v>
      </c>
      <c r="C96" s="11"/>
      <c r="D96" s="8"/>
      <c r="E96" s="10"/>
      <c r="F96" s="10">
        <f>SUM(F21,F29,F41,F53,F61,F73,F83,F93)</f>
        <v>0</v>
      </c>
    </row>
    <row r="99" spans="1:6">
      <c r="A99" s="12" t="s">
        <v>109</v>
      </c>
    </row>
    <row r="100" spans="1:6">
      <c r="A100" s="15" t="s">
        <v>110</v>
      </c>
      <c r="B100" s="14"/>
      <c r="C100" s="14"/>
      <c r="D100" s="14"/>
      <c r="E100" s="14"/>
      <c r="F100" s="14"/>
    </row>
    <row r="101" spans="1:6">
      <c r="A101" s="15" t="s">
        <v>111</v>
      </c>
      <c r="B101" s="14"/>
      <c r="C101" s="14"/>
      <c r="D101" s="14"/>
      <c r="E101" s="14"/>
      <c r="F101" s="14"/>
    </row>
    <row r="102" spans="1:6">
      <c r="A102" s="15" t="s">
        <v>112</v>
      </c>
      <c r="B102" s="14"/>
      <c r="C102" s="14"/>
      <c r="D102" s="14"/>
      <c r="E102" s="14"/>
      <c r="F102" s="14"/>
    </row>
    <row r="103" spans="1:6">
      <c r="A103" s="15" t="s">
        <v>113</v>
      </c>
      <c r="B103" s="14"/>
      <c r="C103" s="14"/>
      <c r="D103" s="14"/>
      <c r="E103" s="14"/>
      <c r="F103" s="14"/>
    </row>
    <row r="104" spans="1:6">
      <c r="A104" s="15" t="s">
        <v>114</v>
      </c>
      <c r="B104" s="14"/>
      <c r="C104" s="14"/>
      <c r="D104" s="14"/>
      <c r="E104" s="14"/>
      <c r="F104" s="14"/>
    </row>
    <row r="105" spans="1:6">
      <c r="A105" s="15" t="s">
        <v>115</v>
      </c>
      <c r="B105" s="14"/>
      <c r="C105" s="14"/>
      <c r="D105" s="14"/>
      <c r="E105" s="14"/>
      <c r="F105" s="14"/>
    </row>
    <row r="106" spans="1:6">
      <c r="A106" s="15" t="s">
        <v>116</v>
      </c>
      <c r="B106" s="14"/>
      <c r="C106" s="14"/>
      <c r="D106" s="14"/>
      <c r="E106" s="14"/>
      <c r="F106" s="14"/>
    </row>
  </sheetData>
  <mergeCells count="11">
    <mergeCell ref="A103:F103"/>
    <mergeCell ref="A106:F106"/>
    <mergeCell ref="A105:F105"/>
    <mergeCell ref="A100:F100"/>
    <mergeCell ref="A3:F3"/>
    <mergeCell ref="A104:F104"/>
    <mergeCell ref="A2:F2"/>
    <mergeCell ref="A102:F102"/>
    <mergeCell ref="A1:F1"/>
    <mergeCell ref="A5:F5"/>
    <mergeCell ref="A101:F10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Demolitions &amp; Alterations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 Dell</cp:lastModifiedBy>
  <dcterms:created xsi:type="dcterms:W3CDTF">2025-12-09T05:56:07Z</dcterms:created>
  <dcterms:modified xsi:type="dcterms:W3CDTF">2025-12-09T10:39:59Z</dcterms:modified>
</cp:coreProperties>
</file>