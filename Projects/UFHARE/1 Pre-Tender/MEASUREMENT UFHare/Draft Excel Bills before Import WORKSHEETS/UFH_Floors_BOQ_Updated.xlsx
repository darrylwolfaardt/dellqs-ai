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
    </mc:Choice>
  </mc:AlternateContent>
  <xr:revisionPtr revIDLastSave="0" documentId="8_{45CC9B3C-95AA-47E6-BB5F-F5A306157511}" xr6:coauthVersionLast="47" xr6:coauthVersionMax="47" xr10:uidLastSave="{00000000-0000-0000-0000-000000000000}"/>
  <bookViews>
    <workbookView xWindow="-28920" yWindow="-120" windowWidth="29040" windowHeight="15720" xr2:uid="{00000000-000D-0000-FFFF-FFFF00000000}"/>
  </bookViews>
  <sheets>
    <sheet name="Floo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 i="1" l="1"/>
  <c r="F98" i="1" s="1"/>
  <c r="F85" i="1"/>
  <c r="F90" i="1" s="1"/>
  <c r="F82" i="1"/>
  <c r="F80" i="1"/>
  <c r="F78" i="1"/>
  <c r="F73" i="1"/>
  <c r="F71" i="1"/>
  <c r="F97" i="1" s="1"/>
  <c r="F68" i="1"/>
  <c r="F61" i="1"/>
  <c r="F63" i="1" s="1"/>
  <c r="F96" i="1" s="1"/>
  <c r="F59" i="1"/>
  <c r="F57" i="1"/>
  <c r="F54" i="1"/>
  <c r="F51" i="1"/>
  <c r="F49" i="1"/>
  <c r="F42" i="1"/>
  <c r="F40" i="1"/>
  <c r="F44" i="1" s="1"/>
  <c r="F95" i="1" s="1"/>
  <c r="F100" i="1" s="1"/>
  <c r="F38" i="1"/>
  <c r="F35" i="1"/>
  <c r="F32" i="1"/>
  <c r="F30" i="1"/>
</calcChain>
</file>

<file path=xl/sharedStrings.xml><?xml version="1.0" encoding="utf-8"?>
<sst xmlns="http://schemas.openxmlformats.org/spreadsheetml/2006/main" count="92" uniqueCount="69">
  <si>
    <t>ITEM NO</t>
  </si>
  <si>
    <t>DESCRIPTION</t>
  </si>
  <si>
    <t>UNIT</t>
  </si>
  <si>
    <t>QUANTITY</t>
  </si>
  <si>
    <t>RATE</t>
  </si>
  <si>
    <t>AMOUNT</t>
  </si>
  <si>
    <t>BILL NO. 4</t>
  </si>
  <si>
    <t>FLOOR FINISHES, SKIRTINGS AND EXTERNAL PAVING</t>
  </si>
  <si>
    <t>PREAMBLES</t>
  </si>
  <si>
    <t>1. CONCRETE FLOORS AND SCREEDS</t>
  </si>
  <si>
    <t>Preparation to Existing Floors</t>
  </si>
  <si>
    <t>1.1</t>
  </si>
  <si>
    <t>Hack up and remove existing timber floor boards and battens, cart away and dispose of off site (as measured in demolitions)</t>
  </si>
  <si>
    <t>m²</t>
  </si>
  <si>
    <t>1.2</t>
  </si>
  <si>
    <t>Prepare and level existing concrete floor surfaces to receive new finishes including filling, levelling and removal of all loose and friable material</t>
  </si>
  <si>
    <t>New Concrete Floors</t>
  </si>
  <si>
    <t>1.3</t>
  </si>
  <si>
    <t>100mm thick mass concrete floor slab grade 25/19 on 125µm polythene DPC on 50mm thick sand blinding in areas where existing timber floor removed</t>
  </si>
  <si>
    <t>Floor Screeds</t>
  </si>
  <si>
    <t>1.4</t>
  </si>
  <si>
    <t>100mm thick power floated concrete surface bed grade 30 MPa / 19mm to receive tile adhesive on existing concrete floors, including curing</t>
  </si>
  <si>
    <t>1.5</t>
  </si>
  <si>
    <t>100mm thick power floated concrete surface bed grade 30 MPa / 19mm to receive tile adhesive on new concrete slab, including curing</t>
  </si>
  <si>
    <t>1.6</t>
  </si>
  <si>
    <t>50mm thick cement sand screed (1:3 mix) steel trowel finished to falls in ablution areas including curing</t>
  </si>
  <si>
    <t>CARRIED FORWARD TO SUMMARY</t>
  </si>
  <si>
    <t>2. FLOOR COVERINGS</t>
  </si>
  <si>
    <t>Internal Ceramic Floor Tiles</t>
  </si>
  <si>
    <t>2.1</t>
  </si>
  <si>
    <t>600 x 600 x 10mm first grade porcelain ceramic floor tiles to SANS 1285, colour and finish to be confirmed, laid on and including Tal Professional flexible tile adhesive applied as per manufacturer's specifications, grouted with Tal Fine Epoxy grout in 3mm wide joints, colour to be confirmed, on floors in general areas</t>
  </si>
  <si>
    <t>2.2</t>
  </si>
  <si>
    <t>600 x 600 x 10mm first grade non-slip porcelain ceramic floor tiles to SANS 1285, colour and finish to be confirmed, laid on and including Tal Professional flexible tile adhesive, grouted with Tal Fine Epoxy grout in 3mm joints, colour to be confirmed, on floors in ablution areas</t>
  </si>
  <si>
    <t>External Ceramic Floor Tiles</t>
  </si>
  <si>
    <t>2.3</t>
  </si>
  <si>
    <t>600 x 600 x 12mm first grade exterior grade non-slip porcelain ceramic floor tiles to SANS 1285, colour and finish to be confirmed, laid on and including Tal GOLDFLEX flexible tile adhesive, grouted with Tal Fine Epoxy grout in 3mm joints, colour to be confirmed, on veranda floor</t>
  </si>
  <si>
    <t>Cutting and Accessories</t>
  </si>
  <si>
    <t>2.4</t>
  </si>
  <si>
    <t>Circular cutting to floor tiles around pipes, columns and other obstructions</t>
  </si>
  <si>
    <t>No.</t>
  </si>
  <si>
    <t>2.5</t>
  </si>
  <si>
    <t>MTrim aluminium transition cover strip 29 x 8mm between different floor finishes including fixing</t>
  </si>
  <si>
    <t>m</t>
  </si>
  <si>
    <t>2.6</t>
  </si>
  <si>
    <t>MTrim 10mm movement joint in floor tiling at maximum 4-5m centres including fixing and sealing</t>
  </si>
  <si>
    <t>3. SKIRTINGS</t>
  </si>
  <si>
    <t>Skirting Type 01 - Base Reveal Skirting</t>
  </si>
  <si>
    <t>3.1</t>
  </si>
  <si>
    <t>Capco Gamma Base Reveal 75 drywall trim skirting installed as per manufacturer's specifications with concealed fixing using suitable bonding agent, colour to be confirmed, including 45° mitred corners at junctions to new drywalls</t>
  </si>
  <si>
    <t>Skirting Type 02 - Flat Skirting</t>
  </si>
  <si>
    <t>3.2</t>
  </si>
  <si>
    <t>Capco Gamma common section 76 flat skirting installed as per manufacturer's specifications with concealed fixing using suitable bonding agent, colour to be confirmed, including 45° mitred corners at junctions to existing walls</t>
  </si>
  <si>
    <t>4. EXTERNAL PAVING</t>
  </si>
  <si>
    <t>Base Preparation</t>
  </si>
  <si>
    <t>4.1</t>
  </si>
  <si>
    <t>Excavate for paving to a depth of 200mm below finished paving level, cart away surplus material and dispose of off site</t>
  </si>
  <si>
    <t>4.2</t>
  </si>
  <si>
    <t>150mm thick compacted layer of G5 crusher run base course compacted to 95% Mod AASHTO density under paving</t>
  </si>
  <si>
    <t>4.3</t>
  </si>
  <si>
    <t>50mm thick bedding sand under paving, levelled and compacted</t>
  </si>
  <si>
    <t>Concrete Paving</t>
  </si>
  <si>
    <t>4.4</t>
  </si>
  <si>
    <t>60mm thick precast concrete paving blocks, colour and finish to be confirmed, laid on bedding sand in basket weave pattern, joints filled with sand, vibrated and compacted</t>
  </si>
  <si>
    <t>Edging and Accessories</t>
  </si>
  <si>
    <t>4.5</t>
  </si>
  <si>
    <t>Precast concrete kerb edging 200 x 100mm laid on and including 100mm thick concrete haunching grade 15/19</t>
  </si>
  <si>
    <t>BILL NO. 4 - FLOOR FINISHES SUMMARY</t>
  </si>
  <si>
    <t>TOTAL CARRIED TO FINAL SUMMARY</t>
  </si>
  <si>
    <t>STRUCTURAL DRAWINGS RECEIVED - CRITICAL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</si>
</sst>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1"/>
      <name val="Calibri"/>
      <family val="2"/>
    </font>
    <font>
      <b/>
      <sz val="10"/>
      <name val="Calibri"/>
      <family val="2"/>
    </font>
    <font>
      <b/>
      <i/>
      <sz val="9"/>
      <name val="Calibri"/>
      <family val="2"/>
    </font>
    <font>
      <b/>
      <sz val="9"/>
      <name val="Calibri"/>
      <family val="2"/>
    </font>
    <font>
      <b/>
      <sz val="11"/>
      <name val="Calibri"/>
      <family val="2"/>
    </font>
    <font>
      <b/>
      <sz val="10"/>
      <color rgb="FFFF0000"/>
      <name val="Calibri"/>
      <family val="2"/>
    </font>
  </fonts>
  <fills count="5">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E7E6E6"/>
        <bgColor rgb="FFE7E6E6"/>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0" fillId="0" borderId="1" xfId="0" applyBorder="1"/>
    <xf numFmtId="0" fontId="6"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4" fontId="0" fillId="0" borderId="1" xfId="0" applyNumberFormat="1" applyBorder="1" applyAlignment="1">
      <alignment horizontal="right" vertical="center"/>
    </xf>
    <xf numFmtId="0" fontId="5" fillId="0" borderId="1" xfId="0" applyFont="1" applyBorder="1"/>
    <xf numFmtId="4" fontId="6" fillId="0" borderId="1" xfId="0" applyNumberFormat="1" applyFont="1" applyBorder="1"/>
    <xf numFmtId="0" fontId="6" fillId="0" borderId="1" xfId="0" applyFont="1" applyBorder="1"/>
    <xf numFmtId="4" fontId="0" fillId="0" borderId="1" xfId="0" applyNumberFormat="1" applyBorder="1"/>
    <xf numFmtId="0" fontId="0" fillId="0" borderId="4" xfId="0" applyBorder="1"/>
    <xf numFmtId="0" fontId="2" fillId="0" borderId="4" xfId="0" applyFont="1" applyBorder="1"/>
    <xf numFmtId="4" fontId="2" fillId="4" borderId="4" xfId="0" applyNumberFormat="1" applyFont="1" applyFill="1" applyBorder="1"/>
    <xf numFmtId="0" fontId="0" fillId="0" borderId="0" xfId="0"/>
    <xf numFmtId="0" fontId="3" fillId="3" borderId="1" xfId="0" applyFont="1" applyFill="1" applyBorder="1" applyAlignment="1">
      <alignment horizontal="left" vertical="center" wrapText="1"/>
    </xf>
    <xf numFmtId="0" fontId="0" fillId="0" borderId="2" xfId="0" applyBorder="1"/>
    <xf numFmtId="0" fontId="0" fillId="0" borderId="3" xfId="0" applyBorder="1"/>
    <xf numFmtId="0" fontId="4" fillId="4" borderId="1" xfId="0" applyFont="1" applyFill="1" applyBorder="1" applyAlignment="1">
      <alignment horizontal="left" vertic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tabSelected="1" workbookViewId="0"/>
  </sheetViews>
  <sheetFormatPr defaultRowHeight="14.4" x14ac:dyDescent="0.3"/>
  <cols>
    <col min="1" max="1" width="8" customWidth="1"/>
    <col min="2" max="2" width="75" customWidth="1"/>
    <col min="3" max="3" width="8" customWidth="1"/>
    <col min="4" max="5" width="12" customWidth="1"/>
    <col min="6" max="6" width="14" customWidth="1"/>
  </cols>
  <sheetData>
    <row r="1" spans="1:6" x14ac:dyDescent="0.3">
      <c r="A1" s="1" t="s">
        <v>0</v>
      </c>
      <c r="B1" s="1" t="s">
        <v>1</v>
      </c>
      <c r="C1" s="1" t="s">
        <v>2</v>
      </c>
      <c r="D1" s="1" t="s">
        <v>3</v>
      </c>
      <c r="E1" s="1" t="s">
        <v>4</v>
      </c>
      <c r="F1" s="1" t="s">
        <v>5</v>
      </c>
    </row>
    <row r="2" spans="1:6" x14ac:dyDescent="0.3">
      <c r="A2" s="14"/>
      <c r="B2" s="14"/>
      <c r="C2" s="14"/>
      <c r="D2" s="14"/>
      <c r="E2" s="14"/>
      <c r="F2" s="14"/>
    </row>
    <row r="3" spans="1:6" x14ac:dyDescent="0.3">
      <c r="A3" s="14"/>
      <c r="B3" s="14"/>
      <c r="C3" s="14"/>
      <c r="D3" s="14"/>
      <c r="E3" s="14"/>
      <c r="F3" s="14"/>
    </row>
    <row r="4" spans="1:6" ht="6" customHeight="1" x14ac:dyDescent="0.3">
      <c r="A4" s="2"/>
      <c r="B4" s="2"/>
      <c r="C4" s="2"/>
      <c r="D4" s="2"/>
      <c r="E4" s="2"/>
      <c r="F4" s="2"/>
    </row>
    <row r="5" spans="1:6" ht="25.05" customHeight="1" x14ac:dyDescent="0.3">
      <c r="A5" s="15" t="s">
        <v>6</v>
      </c>
      <c r="B5" s="16"/>
      <c r="C5" s="16"/>
      <c r="D5" s="16"/>
      <c r="E5" s="16"/>
      <c r="F5" s="17"/>
    </row>
    <row r="6" spans="1:6" ht="25.05" customHeight="1" x14ac:dyDescent="0.3">
      <c r="A6" s="15" t="s">
        <v>7</v>
      </c>
      <c r="B6" s="16"/>
      <c r="C6" s="16"/>
      <c r="D6" s="16"/>
      <c r="E6" s="16"/>
      <c r="F6" s="17"/>
    </row>
    <row r="7" spans="1:6" ht="6" customHeight="1" x14ac:dyDescent="0.3">
      <c r="A7" s="2"/>
      <c r="B7" s="2"/>
      <c r="C7" s="2"/>
      <c r="D7" s="2"/>
      <c r="E7" s="2"/>
      <c r="F7" s="2"/>
    </row>
    <row r="8" spans="1:6" ht="25.05" customHeight="1" x14ac:dyDescent="0.3">
      <c r="A8" s="18" t="s">
        <v>8</v>
      </c>
      <c r="B8" s="16"/>
      <c r="C8" s="16"/>
      <c r="D8" s="16"/>
      <c r="E8" s="16"/>
      <c r="F8" s="17"/>
    </row>
    <row r="9" spans="1:6" x14ac:dyDescent="0.3">
      <c r="A9" s="14"/>
      <c r="B9" s="14"/>
      <c r="C9" s="14"/>
      <c r="D9" s="14"/>
      <c r="E9" s="14"/>
      <c r="F9" s="14"/>
    </row>
    <row r="10" spans="1:6" ht="30" customHeight="1" x14ac:dyDescent="0.3">
      <c r="A10" s="14"/>
      <c r="B10" s="14"/>
      <c r="C10" s="14"/>
      <c r="D10" s="14"/>
      <c r="E10" s="14"/>
      <c r="F10" s="14"/>
    </row>
    <row r="11" spans="1:6" ht="6" customHeight="1" x14ac:dyDescent="0.3">
      <c r="A11" s="2"/>
      <c r="B11" s="2"/>
      <c r="C11" s="2"/>
      <c r="D11" s="2"/>
      <c r="E11" s="2"/>
      <c r="F11" s="2"/>
    </row>
    <row r="12" spans="1:6" x14ac:dyDescent="0.3">
      <c r="A12" s="14"/>
      <c r="B12" s="14"/>
      <c r="C12" s="14"/>
      <c r="D12" s="14"/>
      <c r="E12" s="14"/>
      <c r="F12" s="14"/>
    </row>
    <row r="13" spans="1:6" ht="30" customHeight="1" x14ac:dyDescent="0.3">
      <c r="A13" s="14"/>
      <c r="B13" s="14"/>
      <c r="C13" s="14"/>
      <c r="D13" s="14"/>
      <c r="E13" s="14"/>
      <c r="F13" s="14"/>
    </row>
    <row r="14" spans="1:6" ht="6" customHeight="1" x14ac:dyDescent="0.3">
      <c r="A14" s="2"/>
      <c r="B14" s="2"/>
      <c r="C14" s="2"/>
      <c r="D14" s="2"/>
      <c r="E14" s="2"/>
      <c r="F14" s="2"/>
    </row>
    <row r="15" spans="1:6" x14ac:dyDescent="0.3">
      <c r="A15" s="14"/>
      <c r="B15" s="14"/>
      <c r="C15" s="14"/>
      <c r="D15" s="14"/>
      <c r="E15" s="14"/>
      <c r="F15" s="14"/>
    </row>
    <row r="16" spans="1:6" ht="30" customHeight="1" x14ac:dyDescent="0.3">
      <c r="A16" s="14"/>
      <c r="B16" s="14"/>
      <c r="C16" s="14"/>
      <c r="D16" s="14"/>
      <c r="E16" s="14"/>
      <c r="F16" s="14"/>
    </row>
    <row r="17" spans="1:6" ht="6" customHeight="1" x14ac:dyDescent="0.3">
      <c r="A17" s="2"/>
      <c r="B17" s="2"/>
      <c r="C17" s="2"/>
      <c r="D17" s="2"/>
      <c r="E17" s="2"/>
      <c r="F17" s="2"/>
    </row>
    <row r="18" spans="1:6" x14ac:dyDescent="0.3">
      <c r="A18" s="14"/>
      <c r="B18" s="14"/>
      <c r="C18" s="14"/>
      <c r="D18" s="14"/>
      <c r="E18" s="14"/>
      <c r="F18" s="14"/>
    </row>
    <row r="19" spans="1:6" ht="30" customHeight="1" x14ac:dyDescent="0.3">
      <c r="A19" s="14"/>
      <c r="B19" s="14"/>
      <c r="C19" s="14"/>
      <c r="D19" s="14"/>
      <c r="E19" s="14"/>
      <c r="F19" s="14"/>
    </row>
    <row r="20" spans="1:6" ht="6" customHeight="1" x14ac:dyDescent="0.3">
      <c r="A20" s="2"/>
      <c r="B20" s="2"/>
      <c r="C20" s="2"/>
      <c r="D20" s="2"/>
      <c r="E20" s="2"/>
      <c r="F20" s="2"/>
    </row>
    <row r="21" spans="1:6" x14ac:dyDescent="0.3">
      <c r="A21" s="14"/>
      <c r="B21" s="14"/>
      <c r="C21" s="14"/>
      <c r="D21" s="14"/>
      <c r="E21" s="14"/>
      <c r="F21" s="14"/>
    </row>
    <row r="22" spans="1:6" ht="30" customHeight="1" x14ac:dyDescent="0.3">
      <c r="A22" s="14"/>
      <c r="B22" s="14"/>
      <c r="C22" s="14"/>
      <c r="D22" s="14"/>
      <c r="E22" s="14"/>
      <c r="F22" s="14"/>
    </row>
    <row r="23" spans="1:6" ht="6" customHeight="1" x14ac:dyDescent="0.3">
      <c r="A23" s="2"/>
      <c r="B23" s="2"/>
      <c r="C23" s="2"/>
      <c r="D23" s="2"/>
      <c r="E23" s="2"/>
      <c r="F23" s="2"/>
    </row>
    <row r="24" spans="1:6" x14ac:dyDescent="0.3">
      <c r="A24" s="14"/>
      <c r="B24" s="14"/>
      <c r="C24" s="14"/>
      <c r="D24" s="14"/>
      <c r="E24" s="14"/>
      <c r="F24" s="14"/>
    </row>
    <row r="25" spans="1:6" ht="30" customHeight="1" x14ac:dyDescent="0.3">
      <c r="A25" s="14"/>
      <c r="B25" s="14"/>
      <c r="C25" s="14"/>
      <c r="D25" s="14"/>
      <c r="E25" s="14"/>
      <c r="F25" s="14"/>
    </row>
    <row r="26" spans="1:6" ht="6" customHeight="1" x14ac:dyDescent="0.3">
      <c r="A26" s="2"/>
      <c r="B26" s="2"/>
      <c r="C26" s="2"/>
      <c r="D26" s="2"/>
      <c r="E26" s="2"/>
      <c r="F26" s="2"/>
    </row>
    <row r="27" spans="1:6" ht="25.05" customHeight="1" x14ac:dyDescent="0.3">
      <c r="A27" s="15" t="s">
        <v>9</v>
      </c>
      <c r="B27" s="16"/>
      <c r="C27" s="16"/>
      <c r="D27" s="16"/>
      <c r="E27" s="16"/>
      <c r="F27" s="17"/>
    </row>
    <row r="28" spans="1:6" ht="6" customHeight="1" x14ac:dyDescent="0.3">
      <c r="A28" s="2"/>
      <c r="B28" s="2"/>
      <c r="C28" s="2"/>
      <c r="D28" s="2"/>
      <c r="E28" s="2"/>
      <c r="F28" s="2"/>
    </row>
    <row r="29" spans="1:6" ht="25.05" customHeight="1" x14ac:dyDescent="0.3">
      <c r="A29" s="18" t="s">
        <v>10</v>
      </c>
      <c r="B29" s="16"/>
      <c r="C29" s="16"/>
      <c r="D29" s="16"/>
      <c r="E29" s="16"/>
      <c r="F29" s="17"/>
    </row>
    <row r="30" spans="1:6" ht="40.049999999999997" customHeight="1" x14ac:dyDescent="0.3">
      <c r="A30" s="3" t="s">
        <v>11</v>
      </c>
      <c r="B30" s="4" t="s">
        <v>12</v>
      </c>
      <c r="C30" s="5" t="s">
        <v>13</v>
      </c>
      <c r="D30" s="6">
        <v>45</v>
      </c>
      <c r="E30" s="6"/>
      <c r="F30" s="6">
        <f>D30*E30</f>
        <v>0</v>
      </c>
    </row>
    <row r="31" spans="1:6" ht="6" customHeight="1" x14ac:dyDescent="0.3">
      <c r="A31" s="2"/>
      <c r="B31" s="2"/>
      <c r="C31" s="2"/>
      <c r="D31" s="2"/>
      <c r="E31" s="2"/>
      <c r="F31" s="2"/>
    </row>
    <row r="32" spans="1:6" ht="40.049999999999997" customHeight="1" x14ac:dyDescent="0.3">
      <c r="A32" s="3" t="s">
        <v>14</v>
      </c>
      <c r="B32" s="4" t="s">
        <v>15</v>
      </c>
      <c r="C32" s="5" t="s">
        <v>13</v>
      </c>
      <c r="D32" s="6">
        <v>380</v>
      </c>
      <c r="E32" s="6"/>
      <c r="F32" s="6">
        <f>D32*E32</f>
        <v>0</v>
      </c>
    </row>
    <row r="33" spans="1:6" ht="6" customHeight="1" x14ac:dyDescent="0.3">
      <c r="A33" s="2"/>
      <c r="B33" s="2"/>
      <c r="C33" s="2"/>
      <c r="D33" s="2"/>
      <c r="E33" s="2"/>
      <c r="F33" s="2"/>
    </row>
    <row r="34" spans="1:6" ht="25.05" customHeight="1" x14ac:dyDescent="0.3">
      <c r="A34" s="18" t="s">
        <v>16</v>
      </c>
      <c r="B34" s="16"/>
      <c r="C34" s="16"/>
      <c r="D34" s="16"/>
      <c r="E34" s="16"/>
      <c r="F34" s="17"/>
    </row>
    <row r="35" spans="1:6" ht="40.049999999999997" customHeight="1" x14ac:dyDescent="0.3">
      <c r="A35" s="3" t="s">
        <v>17</v>
      </c>
      <c r="B35" s="4" t="s">
        <v>18</v>
      </c>
      <c r="C35" s="5" t="s">
        <v>13</v>
      </c>
      <c r="D35" s="6">
        <v>45</v>
      </c>
      <c r="E35" s="6"/>
      <c r="F35" s="6">
        <f>D35*E35</f>
        <v>0</v>
      </c>
    </row>
    <row r="36" spans="1:6" ht="6" customHeight="1" x14ac:dyDescent="0.3">
      <c r="A36" s="2"/>
      <c r="B36" s="2"/>
      <c r="C36" s="2"/>
      <c r="D36" s="2"/>
      <c r="E36" s="2"/>
      <c r="F36" s="2"/>
    </row>
    <row r="37" spans="1:6" ht="25.05" customHeight="1" x14ac:dyDescent="0.3">
      <c r="A37" s="18" t="s">
        <v>19</v>
      </c>
      <c r="B37" s="16"/>
      <c r="C37" s="16"/>
      <c r="D37" s="16"/>
      <c r="E37" s="16"/>
      <c r="F37" s="17"/>
    </row>
    <row r="38" spans="1:6" ht="40.049999999999997" customHeight="1" x14ac:dyDescent="0.3">
      <c r="A38" s="3" t="s">
        <v>20</v>
      </c>
      <c r="B38" s="4" t="s">
        <v>21</v>
      </c>
      <c r="C38" s="5" t="s">
        <v>13</v>
      </c>
      <c r="D38" s="6">
        <v>335</v>
      </c>
      <c r="E38" s="6"/>
      <c r="F38" s="6">
        <f>D38*E38</f>
        <v>0</v>
      </c>
    </row>
    <row r="39" spans="1:6" ht="6" customHeight="1" x14ac:dyDescent="0.3">
      <c r="A39" s="2"/>
      <c r="B39" s="2"/>
      <c r="C39" s="2"/>
      <c r="D39" s="2"/>
      <c r="E39" s="2"/>
      <c r="F39" s="2"/>
    </row>
    <row r="40" spans="1:6" ht="40.049999999999997" customHeight="1" x14ac:dyDescent="0.3">
      <c r="A40" s="3" t="s">
        <v>22</v>
      </c>
      <c r="B40" s="4" t="s">
        <v>23</v>
      </c>
      <c r="C40" s="5" t="s">
        <v>13</v>
      </c>
      <c r="D40" s="6">
        <v>45</v>
      </c>
      <c r="E40" s="6"/>
      <c r="F40" s="6">
        <f>D40*E40</f>
        <v>0</v>
      </c>
    </row>
    <row r="41" spans="1:6" ht="6" customHeight="1" x14ac:dyDescent="0.3">
      <c r="A41" s="2"/>
      <c r="B41" s="2"/>
      <c r="C41" s="2"/>
      <c r="D41" s="2"/>
      <c r="E41" s="2"/>
      <c r="F41" s="2"/>
    </row>
    <row r="42" spans="1:6" ht="40.049999999999997" customHeight="1" x14ac:dyDescent="0.3">
      <c r="A42" s="3" t="s">
        <v>24</v>
      </c>
      <c r="B42" s="4" t="s">
        <v>25</v>
      </c>
      <c r="C42" s="5" t="s">
        <v>13</v>
      </c>
      <c r="D42" s="6">
        <v>35</v>
      </c>
      <c r="E42" s="6"/>
      <c r="F42" s="6">
        <f>D42*E42</f>
        <v>0</v>
      </c>
    </row>
    <row r="43" spans="1:6" ht="6" customHeight="1" x14ac:dyDescent="0.3">
      <c r="A43" s="2"/>
      <c r="B43" s="2"/>
      <c r="C43" s="2"/>
      <c r="D43" s="2"/>
      <c r="E43" s="2"/>
      <c r="F43" s="2"/>
    </row>
    <row r="44" spans="1:6" x14ac:dyDescent="0.3">
      <c r="A44" s="2"/>
      <c r="B44" s="7" t="s">
        <v>26</v>
      </c>
      <c r="C44" s="2"/>
      <c r="D44" s="2"/>
      <c r="E44" s="2"/>
      <c r="F44" s="8">
        <f>SUBTOTAL(9,F28:F43)</f>
        <v>0</v>
      </c>
    </row>
    <row r="45" spans="1:6" ht="6" customHeight="1" x14ac:dyDescent="0.3">
      <c r="A45" s="2"/>
      <c r="B45" s="2"/>
      <c r="C45" s="2"/>
      <c r="D45" s="2"/>
      <c r="E45" s="2"/>
      <c r="F45" s="2"/>
    </row>
    <row r="46" spans="1:6" ht="25.05" customHeight="1" x14ac:dyDescent="0.3">
      <c r="A46" s="15" t="s">
        <v>27</v>
      </c>
      <c r="B46" s="16"/>
      <c r="C46" s="16"/>
      <c r="D46" s="16"/>
      <c r="E46" s="16"/>
      <c r="F46" s="17"/>
    </row>
    <row r="47" spans="1:6" ht="6" customHeight="1" x14ac:dyDescent="0.3">
      <c r="A47" s="2"/>
      <c r="B47" s="2"/>
      <c r="C47" s="2"/>
      <c r="D47" s="2"/>
      <c r="E47" s="2"/>
      <c r="F47" s="2"/>
    </row>
    <row r="48" spans="1:6" ht="25.05" customHeight="1" x14ac:dyDescent="0.3">
      <c r="A48" s="18" t="s">
        <v>28</v>
      </c>
      <c r="B48" s="16"/>
      <c r="C48" s="16"/>
      <c r="D48" s="16"/>
      <c r="E48" s="16"/>
      <c r="F48" s="17"/>
    </row>
    <row r="49" spans="1:6" ht="40.049999999999997" customHeight="1" x14ac:dyDescent="0.3">
      <c r="A49" s="3" t="s">
        <v>29</v>
      </c>
      <c r="B49" s="4" t="s">
        <v>30</v>
      </c>
      <c r="C49" s="5" t="s">
        <v>13</v>
      </c>
      <c r="D49" s="6">
        <v>350</v>
      </c>
      <c r="E49" s="6"/>
      <c r="F49" s="6">
        <f>D49*E49</f>
        <v>0</v>
      </c>
    </row>
    <row r="50" spans="1:6" ht="6" customHeight="1" x14ac:dyDescent="0.3">
      <c r="A50" s="2"/>
      <c r="B50" s="2"/>
      <c r="C50" s="2"/>
      <c r="D50" s="2"/>
      <c r="E50" s="2"/>
      <c r="F50" s="2"/>
    </row>
    <row r="51" spans="1:6" ht="40.049999999999997" customHeight="1" x14ac:dyDescent="0.3">
      <c r="A51" s="3" t="s">
        <v>31</v>
      </c>
      <c r="B51" s="4" t="s">
        <v>32</v>
      </c>
      <c r="C51" s="5" t="s">
        <v>13</v>
      </c>
      <c r="D51" s="6">
        <v>30</v>
      </c>
      <c r="E51" s="6"/>
      <c r="F51" s="6">
        <f>D51*E51</f>
        <v>0</v>
      </c>
    </row>
    <row r="52" spans="1:6" ht="6" customHeight="1" x14ac:dyDescent="0.3">
      <c r="A52" s="2"/>
      <c r="B52" s="2"/>
      <c r="C52" s="2"/>
      <c r="D52" s="2"/>
      <c r="E52" s="2"/>
      <c r="F52" s="2"/>
    </row>
    <row r="53" spans="1:6" ht="25.05" customHeight="1" x14ac:dyDescent="0.3">
      <c r="A53" s="18" t="s">
        <v>33</v>
      </c>
      <c r="B53" s="16"/>
      <c r="C53" s="16"/>
      <c r="D53" s="16"/>
      <c r="E53" s="16"/>
      <c r="F53" s="17"/>
    </row>
    <row r="54" spans="1:6" ht="40.049999999999997" customHeight="1" x14ac:dyDescent="0.3">
      <c r="A54" s="3" t="s">
        <v>34</v>
      </c>
      <c r="B54" s="4" t="s">
        <v>35</v>
      </c>
      <c r="C54" s="5" t="s">
        <v>13</v>
      </c>
      <c r="D54" s="6">
        <v>30</v>
      </c>
      <c r="E54" s="6"/>
      <c r="F54" s="6">
        <f>D54*E54</f>
        <v>0</v>
      </c>
    </row>
    <row r="55" spans="1:6" ht="6" customHeight="1" x14ac:dyDescent="0.3">
      <c r="A55" s="2"/>
      <c r="B55" s="2"/>
      <c r="C55" s="2"/>
      <c r="D55" s="2"/>
      <c r="E55" s="2"/>
      <c r="F55" s="2"/>
    </row>
    <row r="56" spans="1:6" ht="25.05" customHeight="1" x14ac:dyDescent="0.3">
      <c r="A56" s="18" t="s">
        <v>36</v>
      </c>
      <c r="B56" s="16"/>
      <c r="C56" s="16"/>
      <c r="D56" s="16"/>
      <c r="E56" s="16"/>
      <c r="F56" s="17"/>
    </row>
    <row r="57" spans="1:6" ht="25.05" customHeight="1" x14ac:dyDescent="0.3">
      <c r="A57" s="3" t="s">
        <v>37</v>
      </c>
      <c r="B57" s="4" t="s">
        <v>38</v>
      </c>
      <c r="C57" s="5" t="s">
        <v>39</v>
      </c>
      <c r="D57" s="6">
        <v>25</v>
      </c>
      <c r="E57" s="6"/>
      <c r="F57" s="6">
        <f>D57*E57</f>
        <v>0</v>
      </c>
    </row>
    <row r="58" spans="1:6" ht="6" customHeight="1" x14ac:dyDescent="0.3">
      <c r="A58" s="2"/>
      <c r="B58" s="2"/>
      <c r="C58" s="2"/>
      <c r="D58" s="2"/>
      <c r="E58" s="2"/>
      <c r="F58" s="2"/>
    </row>
    <row r="59" spans="1:6" ht="30" customHeight="1" x14ac:dyDescent="0.3">
      <c r="A59" s="3" t="s">
        <v>40</v>
      </c>
      <c r="B59" s="4" t="s">
        <v>41</v>
      </c>
      <c r="C59" s="5" t="s">
        <v>42</v>
      </c>
      <c r="D59" s="6">
        <v>12</v>
      </c>
      <c r="E59" s="6"/>
      <c r="F59" s="6">
        <f>D59*E59</f>
        <v>0</v>
      </c>
    </row>
    <row r="60" spans="1:6" ht="6" customHeight="1" x14ac:dyDescent="0.3">
      <c r="A60" s="2"/>
      <c r="B60" s="2"/>
      <c r="C60" s="2"/>
      <c r="D60" s="2"/>
      <c r="E60" s="2"/>
      <c r="F60" s="2"/>
    </row>
    <row r="61" spans="1:6" ht="30" customHeight="1" x14ac:dyDescent="0.3">
      <c r="A61" s="3" t="s">
        <v>43</v>
      </c>
      <c r="B61" s="4" t="s">
        <v>44</v>
      </c>
      <c r="C61" s="5" t="s">
        <v>42</v>
      </c>
      <c r="D61" s="6">
        <v>85</v>
      </c>
      <c r="E61" s="6"/>
      <c r="F61" s="6">
        <f>D61*E61</f>
        <v>0</v>
      </c>
    </row>
    <row r="62" spans="1:6" ht="6" customHeight="1" x14ac:dyDescent="0.3">
      <c r="A62" s="2"/>
      <c r="B62" s="2"/>
      <c r="C62" s="2"/>
      <c r="D62" s="2"/>
      <c r="E62" s="2"/>
      <c r="F62" s="2"/>
    </row>
    <row r="63" spans="1:6" x14ac:dyDescent="0.3">
      <c r="A63" s="2"/>
      <c r="B63" s="7" t="s">
        <v>26</v>
      </c>
      <c r="C63" s="2"/>
      <c r="D63" s="2"/>
      <c r="E63" s="2"/>
      <c r="F63" s="8">
        <f>SUBTOTAL(9,F47:F62)</f>
        <v>0</v>
      </c>
    </row>
    <row r="64" spans="1:6" ht="6" customHeight="1" x14ac:dyDescent="0.3">
      <c r="A64" s="2"/>
      <c r="B64" s="2"/>
      <c r="C64" s="2"/>
      <c r="D64" s="2"/>
      <c r="E64" s="2"/>
      <c r="F64" s="2"/>
    </row>
    <row r="65" spans="1:6" ht="25.05" customHeight="1" x14ac:dyDescent="0.3">
      <c r="A65" s="15" t="s">
        <v>45</v>
      </c>
      <c r="B65" s="16"/>
      <c r="C65" s="16"/>
      <c r="D65" s="16"/>
      <c r="E65" s="16"/>
      <c r="F65" s="17"/>
    </row>
    <row r="66" spans="1:6" ht="6" customHeight="1" x14ac:dyDescent="0.3">
      <c r="A66" s="2"/>
      <c r="B66" s="2"/>
      <c r="C66" s="2"/>
      <c r="D66" s="2"/>
      <c r="E66" s="2"/>
      <c r="F66" s="2"/>
    </row>
    <row r="67" spans="1:6" ht="25.05" customHeight="1" x14ac:dyDescent="0.3">
      <c r="A67" s="18" t="s">
        <v>46</v>
      </c>
      <c r="B67" s="16"/>
      <c r="C67" s="16"/>
      <c r="D67" s="16"/>
      <c r="E67" s="16"/>
      <c r="F67" s="17"/>
    </row>
    <row r="68" spans="1:6" ht="40.049999999999997" customHeight="1" x14ac:dyDescent="0.3">
      <c r="A68" s="3" t="s">
        <v>47</v>
      </c>
      <c r="B68" s="4" t="s">
        <v>48</v>
      </c>
      <c r="C68" s="5" t="s">
        <v>42</v>
      </c>
      <c r="D68" s="6">
        <v>95</v>
      </c>
      <c r="E68" s="6"/>
      <c r="F68" s="6">
        <f>D68*E68</f>
        <v>0</v>
      </c>
    </row>
    <row r="69" spans="1:6" ht="6" customHeight="1" x14ac:dyDescent="0.3">
      <c r="A69" s="2"/>
      <c r="B69" s="2"/>
      <c r="C69" s="2"/>
      <c r="D69" s="2"/>
      <c r="E69" s="2"/>
      <c r="F69" s="2"/>
    </row>
    <row r="70" spans="1:6" ht="25.05" customHeight="1" x14ac:dyDescent="0.3">
      <c r="A70" s="18" t="s">
        <v>49</v>
      </c>
      <c r="B70" s="16"/>
      <c r="C70" s="16"/>
      <c r="D70" s="16"/>
      <c r="E70" s="16"/>
      <c r="F70" s="17"/>
    </row>
    <row r="71" spans="1:6" ht="40.049999999999997" customHeight="1" x14ac:dyDescent="0.3">
      <c r="A71" s="3" t="s">
        <v>50</v>
      </c>
      <c r="B71" s="4" t="s">
        <v>51</v>
      </c>
      <c r="C71" s="5" t="s">
        <v>42</v>
      </c>
      <c r="D71" s="6">
        <v>125</v>
      </c>
      <c r="E71" s="6"/>
      <c r="F71" s="6">
        <f>D71*E71</f>
        <v>0</v>
      </c>
    </row>
    <row r="72" spans="1:6" ht="6" customHeight="1" x14ac:dyDescent="0.3">
      <c r="A72" s="2"/>
      <c r="B72" s="2"/>
      <c r="C72" s="2"/>
      <c r="D72" s="2"/>
      <c r="E72" s="2"/>
      <c r="F72" s="2"/>
    </row>
    <row r="73" spans="1:6" x14ac:dyDescent="0.3">
      <c r="A73" s="2"/>
      <c r="B73" s="7" t="s">
        <v>26</v>
      </c>
      <c r="C73" s="2"/>
      <c r="D73" s="2"/>
      <c r="E73" s="2"/>
      <c r="F73" s="8">
        <f>SUBTOTAL(9,F66:F72)</f>
        <v>0</v>
      </c>
    </row>
    <row r="74" spans="1:6" ht="6" customHeight="1" x14ac:dyDescent="0.3">
      <c r="A74" s="2"/>
      <c r="B74" s="2"/>
      <c r="C74" s="2"/>
      <c r="D74" s="2"/>
      <c r="E74" s="2"/>
      <c r="F74" s="2"/>
    </row>
    <row r="75" spans="1:6" ht="25.05" customHeight="1" x14ac:dyDescent="0.3">
      <c r="A75" s="15" t="s">
        <v>52</v>
      </c>
      <c r="B75" s="16"/>
      <c r="C75" s="16"/>
      <c r="D75" s="16"/>
      <c r="E75" s="16"/>
      <c r="F75" s="17"/>
    </row>
    <row r="76" spans="1:6" ht="6" customHeight="1" x14ac:dyDescent="0.3">
      <c r="A76" s="2"/>
      <c r="B76" s="2"/>
      <c r="C76" s="2"/>
      <c r="D76" s="2"/>
      <c r="E76" s="2"/>
      <c r="F76" s="2"/>
    </row>
    <row r="77" spans="1:6" ht="25.05" customHeight="1" x14ac:dyDescent="0.3">
      <c r="A77" s="18" t="s">
        <v>53</v>
      </c>
      <c r="B77" s="16"/>
      <c r="C77" s="16"/>
      <c r="D77" s="16"/>
      <c r="E77" s="16"/>
      <c r="F77" s="17"/>
    </row>
    <row r="78" spans="1:6" ht="40.049999999999997" customHeight="1" x14ac:dyDescent="0.3">
      <c r="A78" s="3" t="s">
        <v>54</v>
      </c>
      <c r="B78" s="4" t="s">
        <v>55</v>
      </c>
      <c r="C78" s="5" t="s">
        <v>13</v>
      </c>
      <c r="D78" s="6">
        <v>80</v>
      </c>
      <c r="E78" s="6"/>
      <c r="F78" s="6">
        <f>D78*E78</f>
        <v>0</v>
      </c>
    </row>
    <row r="79" spans="1:6" ht="6" customHeight="1" x14ac:dyDescent="0.3">
      <c r="A79" s="2"/>
      <c r="B79" s="2"/>
      <c r="C79" s="2"/>
      <c r="D79" s="2"/>
      <c r="E79" s="2"/>
      <c r="F79" s="2"/>
    </row>
    <row r="80" spans="1:6" ht="40.049999999999997" customHeight="1" x14ac:dyDescent="0.3">
      <c r="A80" s="3" t="s">
        <v>56</v>
      </c>
      <c r="B80" s="4" t="s">
        <v>57</v>
      </c>
      <c r="C80" s="5" t="s">
        <v>13</v>
      </c>
      <c r="D80" s="6">
        <v>80</v>
      </c>
      <c r="E80" s="6"/>
      <c r="F80" s="6">
        <f>D80*E80</f>
        <v>0</v>
      </c>
    </row>
    <row r="81" spans="1:6" ht="6" customHeight="1" x14ac:dyDescent="0.3">
      <c r="A81" s="2"/>
      <c r="B81" s="2"/>
      <c r="C81" s="2"/>
      <c r="D81" s="2"/>
      <c r="E81" s="2"/>
      <c r="F81" s="2"/>
    </row>
    <row r="82" spans="1:6" ht="25.05" customHeight="1" x14ac:dyDescent="0.3">
      <c r="A82" s="3" t="s">
        <v>58</v>
      </c>
      <c r="B82" s="4" t="s">
        <v>59</v>
      </c>
      <c r="C82" s="5" t="s">
        <v>13</v>
      </c>
      <c r="D82" s="6">
        <v>80</v>
      </c>
      <c r="E82" s="6"/>
      <c r="F82" s="6">
        <f>D82*E82</f>
        <v>0</v>
      </c>
    </row>
    <row r="83" spans="1:6" ht="6" customHeight="1" x14ac:dyDescent="0.3">
      <c r="A83" s="2"/>
      <c r="B83" s="2"/>
      <c r="C83" s="2"/>
      <c r="D83" s="2"/>
      <c r="E83" s="2"/>
      <c r="F83" s="2"/>
    </row>
    <row r="84" spans="1:6" ht="25.05" customHeight="1" x14ac:dyDescent="0.3">
      <c r="A84" s="18" t="s">
        <v>60</v>
      </c>
      <c r="B84" s="16"/>
      <c r="C84" s="16"/>
      <c r="D84" s="16"/>
      <c r="E84" s="16"/>
      <c r="F84" s="17"/>
    </row>
    <row r="85" spans="1:6" ht="40.049999999999997" customHeight="1" x14ac:dyDescent="0.3">
      <c r="A85" s="3" t="s">
        <v>61</v>
      </c>
      <c r="B85" s="4" t="s">
        <v>62</v>
      </c>
      <c r="C85" s="5" t="s">
        <v>13</v>
      </c>
      <c r="D85" s="6">
        <v>80</v>
      </c>
      <c r="E85" s="6"/>
      <c r="F85" s="6">
        <f>D85*E85</f>
        <v>0</v>
      </c>
    </row>
    <row r="86" spans="1:6" ht="6" customHeight="1" x14ac:dyDescent="0.3">
      <c r="A86" s="2"/>
      <c r="B86" s="2"/>
      <c r="C86" s="2"/>
      <c r="D86" s="2"/>
      <c r="E86" s="2"/>
      <c r="F86" s="2"/>
    </row>
    <row r="87" spans="1:6" ht="25.05" customHeight="1" x14ac:dyDescent="0.3">
      <c r="A87" s="18" t="s">
        <v>63</v>
      </c>
      <c r="B87" s="16"/>
      <c r="C87" s="16"/>
      <c r="D87" s="16"/>
      <c r="E87" s="16"/>
      <c r="F87" s="17"/>
    </row>
    <row r="88" spans="1:6" ht="40.049999999999997" customHeight="1" x14ac:dyDescent="0.3">
      <c r="A88" s="3" t="s">
        <v>64</v>
      </c>
      <c r="B88" s="4" t="s">
        <v>65</v>
      </c>
      <c r="C88" s="5" t="s">
        <v>42</v>
      </c>
      <c r="D88" s="6">
        <v>35</v>
      </c>
      <c r="E88" s="6"/>
      <c r="F88" s="6">
        <f>D88*E88</f>
        <v>0</v>
      </c>
    </row>
    <row r="89" spans="1:6" ht="6" customHeight="1" x14ac:dyDescent="0.3">
      <c r="A89" s="2"/>
      <c r="B89" s="2"/>
      <c r="C89" s="2"/>
      <c r="D89" s="2"/>
      <c r="E89" s="2"/>
      <c r="F89" s="2"/>
    </row>
    <row r="90" spans="1:6" x14ac:dyDescent="0.3">
      <c r="A90" s="2"/>
      <c r="B90" s="7" t="s">
        <v>26</v>
      </c>
      <c r="C90" s="2"/>
      <c r="D90" s="2"/>
      <c r="E90" s="2"/>
      <c r="F90" s="8">
        <f>SUBTOTAL(9,F74:F89)</f>
        <v>0</v>
      </c>
    </row>
    <row r="91" spans="1:6" ht="6" customHeight="1" x14ac:dyDescent="0.3">
      <c r="A91" s="2"/>
      <c r="B91" s="2"/>
      <c r="C91" s="2"/>
      <c r="D91" s="2"/>
      <c r="E91" s="2"/>
      <c r="F91" s="2"/>
    </row>
    <row r="92" spans="1:6" ht="6" customHeight="1" x14ac:dyDescent="0.3">
      <c r="A92" s="2"/>
      <c r="B92" s="2"/>
      <c r="C92" s="2"/>
      <c r="D92" s="2"/>
      <c r="E92" s="2"/>
      <c r="F92" s="2"/>
    </row>
    <row r="93" spans="1:6" ht="25.05" customHeight="1" x14ac:dyDescent="0.3">
      <c r="A93" s="15" t="s">
        <v>66</v>
      </c>
      <c r="B93" s="16"/>
      <c r="C93" s="16"/>
      <c r="D93" s="16"/>
      <c r="E93" s="16"/>
      <c r="F93" s="17"/>
    </row>
    <row r="94" spans="1:6" ht="6" customHeight="1" x14ac:dyDescent="0.3">
      <c r="A94" s="2"/>
      <c r="B94" s="2"/>
      <c r="C94" s="2"/>
      <c r="D94" s="2"/>
      <c r="E94" s="2"/>
      <c r="F94" s="2"/>
    </row>
    <row r="95" spans="1:6" x14ac:dyDescent="0.3">
      <c r="A95" s="2"/>
      <c r="B95" s="9" t="s">
        <v>9</v>
      </c>
      <c r="C95" s="2"/>
      <c r="D95" s="2"/>
      <c r="E95" s="2"/>
      <c r="F95" s="10">
        <f>F44</f>
        <v>0</v>
      </c>
    </row>
    <row r="96" spans="1:6" x14ac:dyDescent="0.3">
      <c r="A96" s="2"/>
      <c r="B96" s="9" t="s">
        <v>27</v>
      </c>
      <c r="C96" s="2"/>
      <c r="D96" s="2"/>
      <c r="E96" s="2"/>
      <c r="F96" s="10">
        <f>F63</f>
        <v>0</v>
      </c>
    </row>
    <row r="97" spans="1:6" x14ac:dyDescent="0.3">
      <c r="A97" s="2"/>
      <c r="B97" s="9" t="s">
        <v>45</v>
      </c>
      <c r="C97" s="2"/>
      <c r="D97" s="2"/>
      <c r="E97" s="2"/>
      <c r="F97" s="10">
        <f>F71</f>
        <v>0</v>
      </c>
    </row>
    <row r="98" spans="1:6" x14ac:dyDescent="0.3">
      <c r="A98" s="2"/>
      <c r="B98" s="9" t="s">
        <v>52</v>
      </c>
      <c r="C98" s="2"/>
      <c r="D98" s="2"/>
      <c r="E98" s="2"/>
      <c r="F98" s="10">
        <f>F88</f>
        <v>0</v>
      </c>
    </row>
    <row r="99" spans="1:6" ht="6" customHeight="1" x14ac:dyDescent="0.3">
      <c r="A99" s="2"/>
      <c r="B99" s="2"/>
      <c r="C99" s="2"/>
      <c r="D99" s="2"/>
      <c r="E99" s="2"/>
      <c r="F99" s="2"/>
    </row>
    <row r="100" spans="1:6" x14ac:dyDescent="0.3">
      <c r="A100" s="11"/>
      <c r="B100" s="12" t="s">
        <v>67</v>
      </c>
      <c r="C100" s="11"/>
      <c r="D100" s="11"/>
      <c r="E100" s="11"/>
      <c r="F100" s="13">
        <f>SUM(F92:F95)</f>
        <v>0</v>
      </c>
    </row>
    <row r="103" spans="1:6" x14ac:dyDescent="0.3">
      <c r="A103" s="19" t="s">
        <v>68</v>
      </c>
      <c r="B103" s="14"/>
      <c r="C103" s="14"/>
      <c r="D103" s="14"/>
      <c r="E103" s="14"/>
      <c r="F103" s="14"/>
    </row>
    <row r="104" spans="1:6" x14ac:dyDescent="0.3">
      <c r="A104" s="14"/>
      <c r="B104" s="14"/>
      <c r="C104" s="14"/>
      <c r="D104" s="14"/>
      <c r="E104" s="14"/>
      <c r="F104" s="14"/>
    </row>
    <row r="105" spans="1:6" x14ac:dyDescent="0.3">
      <c r="A105" s="14"/>
      <c r="B105" s="14"/>
      <c r="C105" s="14"/>
      <c r="D105" s="14"/>
      <c r="E105" s="14"/>
      <c r="F105" s="14"/>
    </row>
    <row r="106" spans="1:6" x14ac:dyDescent="0.3">
      <c r="A106" s="14"/>
      <c r="B106" s="14"/>
      <c r="C106" s="14"/>
      <c r="D106" s="14"/>
      <c r="E106" s="14"/>
      <c r="F106" s="14"/>
    </row>
    <row r="107" spans="1:6" x14ac:dyDescent="0.3">
      <c r="A107" s="14"/>
      <c r="B107" s="14"/>
      <c r="C107" s="14"/>
      <c r="D107" s="14"/>
      <c r="E107" s="14"/>
      <c r="F107" s="14"/>
    </row>
    <row r="108" spans="1:6" x14ac:dyDescent="0.3">
      <c r="A108" s="14"/>
      <c r="B108" s="14"/>
      <c r="C108" s="14"/>
      <c r="D108" s="14"/>
      <c r="E108" s="14"/>
      <c r="F108" s="14"/>
    </row>
  </sheetData>
  <mergeCells count="39">
    <mergeCell ref="A2:F2"/>
    <mergeCell ref="A5:F5"/>
    <mergeCell ref="A8:F8"/>
    <mergeCell ref="A106:F106"/>
    <mergeCell ref="A22:F22"/>
    <mergeCell ref="A53:F53"/>
    <mergeCell ref="A29:F29"/>
    <mergeCell ref="A65:F65"/>
    <mergeCell ref="A10:F10"/>
    <mergeCell ref="A93:F93"/>
    <mergeCell ref="A13:F13"/>
    <mergeCell ref="A19:F19"/>
    <mergeCell ref="A9:F9"/>
    <mergeCell ref="A67:F67"/>
    <mergeCell ref="A34:F34"/>
    <mergeCell ref="A48:F48"/>
    <mergeCell ref="A12:F12"/>
    <mergeCell ref="A18:F18"/>
    <mergeCell ref="A56:F56"/>
    <mergeCell ref="A3:F3"/>
    <mergeCell ref="A21:F21"/>
    <mergeCell ref="A15:F15"/>
    <mergeCell ref="A24:F24"/>
    <mergeCell ref="A6:F6"/>
    <mergeCell ref="A25:F25"/>
    <mergeCell ref="A16:F16"/>
    <mergeCell ref="A46:F46"/>
    <mergeCell ref="A84:F84"/>
    <mergeCell ref="A108:F108"/>
    <mergeCell ref="A37:F37"/>
    <mergeCell ref="A75:F75"/>
    <mergeCell ref="A27:F27"/>
    <mergeCell ref="A105:F105"/>
    <mergeCell ref="A104:F104"/>
    <mergeCell ref="A77:F77"/>
    <mergeCell ref="A107:F107"/>
    <mergeCell ref="A103:F103"/>
    <mergeCell ref="A70:F70"/>
    <mergeCell ref="A87:F8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dcterms:created xsi:type="dcterms:W3CDTF">2025-12-09T12:54:49Z</dcterms:created>
  <dcterms:modified xsi:type="dcterms:W3CDTF">2025-12-11T12:43:15Z</dcterms:modified>
</cp:coreProperties>
</file>