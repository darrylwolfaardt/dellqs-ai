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ron\OneDrive\Documents\Documents\5 EXCELQS Projects\UFHARE - FINANCE OFFICE CONVERSION\1 Pre-Tender\MEASUREMENT UFHare\Claude Measurements\"/>
    </mc:Choice>
  </mc:AlternateContent>
  <xr:revisionPtr revIDLastSave="0" documentId="13_ncr:20001_{CDFC44F2-7036-4F6F-A740-C9C6305112D4}" xr6:coauthVersionLast="47" xr6:coauthVersionMax="47" xr10:uidLastSave="{00000000-0000-0000-0000-000000000000}"/>
  <bookViews>
    <workbookView xWindow="-14310" yWindow="0" windowWidth="11940" windowHeight="15480" xr2:uid="{00000000-000D-0000-FFFF-FFFF00000000}"/>
  </bookViews>
  <sheets>
    <sheet name="Foundations" sheetId="1" r:id="rId1"/>
  </sheet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9" i="1" l="1"/>
  <c r="G47" i="1"/>
  <c r="G28" i="1"/>
  <c r="G27" i="1"/>
  <c r="G26" i="1"/>
  <c r="G25" i="1"/>
  <c r="G24" i="1"/>
  <c r="G8" i="1"/>
  <c r="G9" i="1"/>
  <c r="G10" i="1"/>
  <c r="G11" i="1"/>
  <c r="G7" i="1"/>
  <c r="G48" i="1"/>
  <c r="D47" i="1"/>
  <c r="G33" i="1"/>
  <c r="G32" i="1"/>
  <c r="G34" i="1" s="1"/>
  <c r="G43" i="1" s="1"/>
  <c r="G29" i="1"/>
  <c r="G16" i="1"/>
  <c r="G15" i="1"/>
  <c r="G17" i="1" s="1"/>
  <c r="G12" i="1" l="1"/>
  <c r="G19" i="1" s="1"/>
  <c r="G36" i="1"/>
  <c r="G42" i="1"/>
</calcChain>
</file>

<file path=xl/sharedStrings.xml><?xml version="1.0" encoding="utf-8"?>
<sst xmlns="http://schemas.openxmlformats.org/spreadsheetml/2006/main" count="65" uniqueCount="49">
  <si>
    <t>UNIVERSITY OF FORT HARE - FINANCE OFFICE CONVERSION</t>
  </si>
  <si>
    <t>FOUNDATIONS - Measured from Drawing S-01-25055-20-001-Rev E</t>
  </si>
  <si>
    <t>Item Description</t>
  </si>
  <si>
    <t>Qty</t>
  </si>
  <si>
    <t>Unit</t>
  </si>
  <si>
    <t>Length</t>
  </si>
  <si>
    <t>Width</t>
  </si>
  <si>
    <t>Depth</t>
  </si>
  <si>
    <t>Calculation</t>
  </si>
  <si>
    <t>1. EXCAVATION</t>
  </si>
  <si>
    <t>Excavate foundation trenches for strip foundations, 25MPa concrete</t>
  </si>
  <si>
    <t>North perimeter (Grid A)</t>
  </si>
  <si>
    <t>m³</t>
  </si>
  <si>
    <t>East perimeter (Grid 08)</t>
  </si>
  <si>
    <t>South perimeter (Grid F)</t>
  </si>
  <si>
    <t>West perimeter (Grid 01)</t>
  </si>
  <si>
    <t>Internal strip foundations (Grid lines 02-07, B-E)</t>
  </si>
  <si>
    <t>Sub-total: Strip foundation excavation</t>
  </si>
  <si>
    <t>Excavate foundation pads for columns (isolated pads)</t>
  </si>
  <si>
    <t>Column pads 1200x1200x800mm (typical)</t>
  </si>
  <si>
    <t>nr</t>
  </si>
  <si>
    <t>Column pads 1500x1500x900mm (main columns)</t>
  </si>
  <si>
    <t>Sub-total: Pad foundation excavation</t>
  </si>
  <si>
    <t>TOTAL EXCAVATION FOR FOUNDATIONS</t>
  </si>
  <si>
    <t>2. CONCRETE IN FOUNDATIONS</t>
  </si>
  <si>
    <t>25MPa concrete in strip foundations, 600mm wide x 800mm deep</t>
  </si>
  <si>
    <t>North perimeter</t>
  </si>
  <si>
    <t>East perimeter</t>
  </si>
  <si>
    <t>South perimeter</t>
  </si>
  <si>
    <t>West perimeter</t>
  </si>
  <si>
    <t>Internal strip foundations</t>
  </si>
  <si>
    <t>Sub-total: Strip foundations concrete</t>
  </si>
  <si>
    <t>25MPa concrete in pad foundations</t>
  </si>
  <si>
    <t>Pads 1200x1200x800mm</t>
  </si>
  <si>
    <t>Pads 1500x1500x900mm</t>
  </si>
  <si>
    <t>Sub-total: Pad foundations concrete</t>
  </si>
  <si>
    <t>TOTAL CONCRETE IN FOUNDATIONS (25MPa)</t>
  </si>
  <si>
    <t>3. REINFORCEMENT</t>
  </si>
  <si>
    <t>NOTE: Reinforcement schedules not provided on drawing S-01-25055-20-001</t>
  </si>
  <si>
    <t>Allow provisional allowance based on typical kg/m³ for foundations</t>
  </si>
  <si>
    <t>High tensile steel reinforcement in strip foundations (80 kg/m³)</t>
  </si>
  <si>
    <t>kg</t>
  </si>
  <si>
    <t>High tensile steel reinforcement in pad foundations (100 kg/m³)</t>
  </si>
  <si>
    <t>4. FORMWORK</t>
  </si>
  <si>
    <t>Formwork to sides of strip foundations (both sides x height)</t>
  </si>
  <si>
    <t>Perimeter formwork</t>
  </si>
  <si>
    <t>m²</t>
  </si>
  <si>
    <t>Formwork to pad foundations (4 sides x height)</t>
  </si>
  <si>
    <t>some should be 700mm wide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</si>
</sst>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4"/>
      <name val="Cambria"/>
      <charset val="1"/>
    </font>
    <font>
      <b/>
      <sz val="11"/>
      <name val="Cambria"/>
      <charset val="1"/>
    </font>
    <font>
      <i/>
      <sz val="11"/>
      <name val="Cambria"/>
      <charset val="1"/>
    </font>
    <font>
      <sz val="1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D3D3D3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0" fontId="3" fillId="0" borderId="0" xfId="0" applyFont="1"/>
    <xf numFmtId="0" fontId="0" fillId="4" borderId="0" xfId="0" applyFill="1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0" fontId="4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8"/>
  <sheetViews>
    <sheetView tabSelected="1" zoomScale="85" zoomScaleNormal="85" workbookViewId="0">
      <selection activeCell="A14" sqref="A14"/>
    </sheetView>
  </sheetViews>
  <sheetFormatPr defaultColWidth="8.6640625" defaultRowHeight="14.4" x14ac:dyDescent="0.3"/>
  <cols>
    <col min="1" max="1" width="50" customWidth="1"/>
    <col min="2" max="3" width="8" style="7" customWidth="1"/>
    <col min="4" max="6" width="10" customWidth="1"/>
    <col min="7" max="7" width="15" customWidth="1"/>
  </cols>
  <sheetData>
    <row r="1" spans="1:8" ht="17.399999999999999" x14ac:dyDescent="0.3">
      <c r="A1" s="1" t="s">
        <v>0</v>
      </c>
    </row>
    <row r="2" spans="1:8" x14ac:dyDescent="0.3">
      <c r="A2" s="2" t="s">
        <v>1</v>
      </c>
    </row>
    <row r="4" spans="1:8" x14ac:dyDescent="0.3">
      <c r="A4" s="3" t="s">
        <v>2</v>
      </c>
      <c r="B4" s="8" t="s">
        <v>3</v>
      </c>
      <c r="C4" s="8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8" x14ac:dyDescent="0.3">
      <c r="A5" s="2" t="s">
        <v>9</v>
      </c>
    </row>
    <row r="6" spans="1:8" x14ac:dyDescent="0.3">
      <c r="A6" t="s">
        <v>10</v>
      </c>
    </row>
    <row r="7" spans="1:8" x14ac:dyDescent="0.3">
      <c r="A7" t="s">
        <v>11</v>
      </c>
      <c r="C7" s="7" t="s">
        <v>12</v>
      </c>
      <c r="D7">
        <v>23.5</v>
      </c>
      <c r="E7" s="6">
        <v>0.6</v>
      </c>
      <c r="F7" s="6">
        <v>0.8</v>
      </c>
      <c r="G7">
        <f>D7*E7*F7</f>
        <v>11.280000000000001</v>
      </c>
    </row>
    <row r="8" spans="1:8" x14ac:dyDescent="0.3">
      <c r="A8" t="s">
        <v>13</v>
      </c>
      <c r="C8" s="7" t="s">
        <v>12</v>
      </c>
      <c r="D8">
        <v>15.2</v>
      </c>
      <c r="E8" s="6">
        <v>0.6</v>
      </c>
      <c r="F8" s="6">
        <v>0.8</v>
      </c>
      <c r="G8">
        <f t="shared" ref="G8:G11" si="0">D8*E8*F8</f>
        <v>7.2959999999999994</v>
      </c>
    </row>
    <row r="9" spans="1:8" x14ac:dyDescent="0.3">
      <c r="A9" t="s">
        <v>14</v>
      </c>
      <c r="C9" s="7" t="s">
        <v>12</v>
      </c>
      <c r="D9">
        <v>23.5</v>
      </c>
      <c r="E9" s="6">
        <v>0.6</v>
      </c>
      <c r="F9" s="6">
        <v>0.8</v>
      </c>
      <c r="G9">
        <f t="shared" si="0"/>
        <v>11.280000000000001</v>
      </c>
    </row>
    <row r="10" spans="1:8" x14ac:dyDescent="0.3">
      <c r="A10" t="s">
        <v>15</v>
      </c>
      <c r="C10" s="7" t="s">
        <v>12</v>
      </c>
      <c r="D10">
        <v>15.2</v>
      </c>
      <c r="E10" s="6">
        <v>0.6</v>
      </c>
      <c r="F10" s="6">
        <v>0.8</v>
      </c>
      <c r="G10">
        <f t="shared" si="0"/>
        <v>7.2959999999999994</v>
      </c>
      <c r="H10" t="s">
        <v>48</v>
      </c>
    </row>
    <row r="11" spans="1:8" x14ac:dyDescent="0.3">
      <c r="A11" t="s">
        <v>16</v>
      </c>
      <c r="C11" s="7" t="s">
        <v>12</v>
      </c>
      <c r="D11">
        <v>45</v>
      </c>
      <c r="E11" s="6">
        <v>0.6</v>
      </c>
      <c r="F11" s="6">
        <v>0.8</v>
      </c>
      <c r="G11">
        <f t="shared" si="0"/>
        <v>21.6</v>
      </c>
    </row>
    <row r="12" spans="1:8" x14ac:dyDescent="0.3">
      <c r="A12" s="2" t="s">
        <v>17</v>
      </c>
      <c r="G12" s="2">
        <f>SUM(G7:G11)</f>
        <v>58.752000000000002</v>
      </c>
    </row>
    <row r="14" spans="1:8" x14ac:dyDescent="0.3">
      <c r="A14" t="s">
        <v>18</v>
      </c>
    </row>
    <row r="15" spans="1:8" x14ac:dyDescent="0.3">
      <c r="A15" t="s">
        <v>19</v>
      </c>
      <c r="B15" s="7">
        <v>8</v>
      </c>
      <c r="C15" s="7" t="s">
        <v>20</v>
      </c>
      <c r="D15">
        <v>1.2</v>
      </c>
      <c r="E15">
        <v>1.2</v>
      </c>
      <c r="F15">
        <v>0.8</v>
      </c>
      <c r="G15">
        <f>B15*D15*E15*F15</f>
        <v>9.2159999999999993</v>
      </c>
    </row>
    <row r="16" spans="1:8" x14ac:dyDescent="0.3">
      <c r="A16" t="s">
        <v>21</v>
      </c>
      <c r="B16" s="7">
        <v>4</v>
      </c>
      <c r="C16" s="7" t="s">
        <v>20</v>
      </c>
      <c r="D16">
        <v>1.5</v>
      </c>
      <c r="E16">
        <v>1.5</v>
      </c>
      <c r="F16">
        <v>0.9</v>
      </c>
      <c r="G16">
        <f>B16*D16*E16*F16</f>
        <v>8.1</v>
      </c>
    </row>
    <row r="17" spans="1:7" x14ac:dyDescent="0.3">
      <c r="A17" s="2" t="s">
        <v>22</v>
      </c>
      <c r="G17" s="2">
        <f>SUM(G15:G16)</f>
        <v>17.315999999999999</v>
      </c>
    </row>
    <row r="19" spans="1:7" x14ac:dyDescent="0.3">
      <c r="A19" s="2" t="s">
        <v>23</v>
      </c>
      <c r="C19" s="7" t="s">
        <v>12</v>
      </c>
      <c r="G19" s="4">
        <f>G12+G17</f>
        <v>76.067999999999998</v>
      </c>
    </row>
    <row r="22" spans="1:7" x14ac:dyDescent="0.3">
      <c r="A22" s="2" t="s">
        <v>24</v>
      </c>
    </row>
    <row r="23" spans="1:7" x14ac:dyDescent="0.3">
      <c r="A23" t="s">
        <v>25</v>
      </c>
    </row>
    <row r="24" spans="1:7" x14ac:dyDescent="0.3">
      <c r="A24" t="s">
        <v>26</v>
      </c>
      <c r="C24" s="7" t="s">
        <v>12</v>
      </c>
      <c r="D24">
        <v>23.5</v>
      </c>
      <c r="E24" s="6">
        <v>0.6</v>
      </c>
      <c r="F24" s="6">
        <v>0.8</v>
      </c>
      <c r="G24">
        <f t="shared" ref="G24:G28" si="1">D24*E24*F24</f>
        <v>11.280000000000001</v>
      </c>
    </row>
    <row r="25" spans="1:7" x14ac:dyDescent="0.3">
      <c r="A25" t="s">
        <v>27</v>
      </c>
      <c r="C25" s="7" t="s">
        <v>12</v>
      </c>
      <c r="D25">
        <v>15.2</v>
      </c>
      <c r="E25" s="6">
        <v>0.6</v>
      </c>
      <c r="F25" s="6">
        <v>0.8</v>
      </c>
      <c r="G25">
        <f t="shared" si="1"/>
        <v>7.2959999999999994</v>
      </c>
    </row>
    <row r="26" spans="1:7" x14ac:dyDescent="0.3">
      <c r="A26" t="s">
        <v>28</v>
      </c>
      <c r="C26" s="7" t="s">
        <v>12</v>
      </c>
      <c r="D26">
        <v>23.5</v>
      </c>
      <c r="E26" s="6">
        <v>0.6</v>
      </c>
      <c r="F26" s="6">
        <v>0.8</v>
      </c>
      <c r="G26">
        <f t="shared" si="1"/>
        <v>11.280000000000001</v>
      </c>
    </row>
    <row r="27" spans="1:7" x14ac:dyDescent="0.3">
      <c r="A27" t="s">
        <v>29</v>
      </c>
      <c r="C27" s="7" t="s">
        <v>12</v>
      </c>
      <c r="D27">
        <v>15.2</v>
      </c>
      <c r="E27" s="6">
        <v>0.6</v>
      </c>
      <c r="F27" s="6">
        <v>0.8</v>
      </c>
      <c r="G27">
        <f t="shared" si="1"/>
        <v>7.2959999999999994</v>
      </c>
    </row>
    <row r="28" spans="1:7" x14ac:dyDescent="0.3">
      <c r="A28" t="s">
        <v>30</v>
      </c>
      <c r="C28" s="7" t="s">
        <v>12</v>
      </c>
      <c r="D28">
        <v>45</v>
      </c>
      <c r="E28" s="6">
        <v>0.6</v>
      </c>
      <c r="F28" s="6">
        <v>0.8</v>
      </c>
      <c r="G28">
        <f t="shared" si="1"/>
        <v>21.6</v>
      </c>
    </row>
    <row r="29" spans="1:7" x14ac:dyDescent="0.3">
      <c r="A29" s="2" t="s">
        <v>31</v>
      </c>
      <c r="D29" s="9">
        <f>SUM(D24:D28)</f>
        <v>122.4</v>
      </c>
      <c r="G29" s="2">
        <f>SUM(G24:G28)</f>
        <v>58.752000000000002</v>
      </c>
    </row>
    <row r="31" spans="1:7" x14ac:dyDescent="0.3">
      <c r="A31" t="s">
        <v>32</v>
      </c>
    </row>
    <row r="32" spans="1:7" x14ac:dyDescent="0.3">
      <c r="A32" t="s">
        <v>33</v>
      </c>
      <c r="B32" s="7">
        <v>8</v>
      </c>
      <c r="C32" s="7" t="s">
        <v>20</v>
      </c>
      <c r="D32">
        <v>1.2</v>
      </c>
      <c r="E32">
        <v>1.2</v>
      </c>
      <c r="F32" s="6">
        <v>0.8</v>
      </c>
      <c r="G32">
        <f>B32*D32*E32*F32</f>
        <v>9.2159999999999993</v>
      </c>
    </row>
    <row r="33" spans="1:7" x14ac:dyDescent="0.3">
      <c r="A33" t="s">
        <v>34</v>
      </c>
      <c r="B33" s="7">
        <v>4</v>
      </c>
      <c r="C33" s="7" t="s">
        <v>20</v>
      </c>
      <c r="D33">
        <v>1.5</v>
      </c>
      <c r="E33">
        <v>1.5</v>
      </c>
      <c r="F33" s="6">
        <v>0.9</v>
      </c>
      <c r="G33">
        <f>B33*D33*E33*F33</f>
        <v>8.1</v>
      </c>
    </row>
    <row r="34" spans="1:7" x14ac:dyDescent="0.3">
      <c r="A34" s="2" t="s">
        <v>35</v>
      </c>
      <c r="G34" s="2">
        <f>SUM(G32:G33)</f>
        <v>17.315999999999999</v>
      </c>
    </row>
    <row r="36" spans="1:7" x14ac:dyDescent="0.3">
      <c r="A36" s="2" t="s">
        <v>36</v>
      </c>
      <c r="C36" s="7" t="s">
        <v>12</v>
      </c>
      <c r="G36" s="4">
        <f>G29+G34</f>
        <v>76.067999999999998</v>
      </c>
    </row>
    <row r="39" spans="1:7" x14ac:dyDescent="0.3">
      <c r="A39" s="2" t="s">
        <v>37</v>
      </c>
    </row>
    <row r="40" spans="1:7" x14ac:dyDescent="0.3">
      <c r="A40" s="5" t="s">
        <v>38</v>
      </c>
    </row>
    <row r="41" spans="1:7" x14ac:dyDescent="0.3">
      <c r="A41" t="s">
        <v>39</v>
      </c>
    </row>
    <row r="42" spans="1:7" x14ac:dyDescent="0.3">
      <c r="A42" t="s">
        <v>40</v>
      </c>
      <c r="C42" s="7" t="s">
        <v>41</v>
      </c>
      <c r="G42">
        <f>G29*80</f>
        <v>4700.16</v>
      </c>
    </row>
    <row r="43" spans="1:7" x14ac:dyDescent="0.3">
      <c r="A43" t="s">
        <v>42</v>
      </c>
      <c r="C43" s="7" t="s">
        <v>41</v>
      </c>
      <c r="G43">
        <f>G34*100</f>
        <v>1731.6</v>
      </c>
    </row>
    <row r="45" spans="1:7" x14ac:dyDescent="0.3">
      <c r="A45" s="2" t="s">
        <v>43</v>
      </c>
    </row>
    <row r="46" spans="1:7" x14ac:dyDescent="0.3">
      <c r="A46" t="s">
        <v>44</v>
      </c>
    </row>
    <row r="47" spans="1:7" x14ac:dyDescent="0.3">
      <c r="A47" t="s">
        <v>45</v>
      </c>
      <c r="C47" s="7" t="s">
        <v>46</v>
      </c>
      <c r="D47">
        <f>(23.5+15.2+23.5+15.2+45)*2</f>
        <v>244.8</v>
      </c>
      <c r="E47">
        <v>0.8</v>
      </c>
      <c r="G47">
        <f>D47*E47</f>
        <v>195.84000000000003</v>
      </c>
    </row>
    <row r="48" spans="1:7" x14ac:dyDescent="0.3">
      <c r="A48" t="s">
        <v>47</v>
      </c>
      <c r="C48" s="7" t="s">
        <v>46</v>
      </c>
      <c r="G48">
        <f>(8*(1.2*4*0.8))+(4*(1.5*4*0.9))</f>
        <v>52.32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Foundations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 Dell</dc:creator>
  <cp:lastModifiedBy>Ron Dell</cp:lastModifiedBy>
  <dcterms:created xsi:type="dcterms:W3CDTF">2026-01-02T10:23:11Z</dcterms:created>
  <dcterms:modified xsi:type="dcterms:W3CDTF">2026-01-02T13:23:24Z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2026-01-02T10:18:18Z</dcterms:created>
  <dc:creator>openpyxl</dc:creator>
  <dc:description/>
  <dc:language>en-US</dc:language>
  <cp:lastModifiedBy/>
  <dcterms:modified xsi:type="dcterms:W3CDTF">2026-01-02T10:18:18Z</dcterms:modified>
  <cp:revision>0</cp:revision>
  <dc:subject/>
  <dc:title/>
</cp:coreProperties>
</file>