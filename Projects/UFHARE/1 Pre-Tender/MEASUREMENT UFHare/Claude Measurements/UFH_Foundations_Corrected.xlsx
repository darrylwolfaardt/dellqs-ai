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on\OneDrive\Documents\Documents\5 EXCELQS Projects\UFHARE - FINANCE OFFICE CONVERSION\1 Pre-Tender\MEASUREMENT UFHare\Claude Measurements\"/>
    </mc:Choice>
  </mc:AlternateContent>
  <xr:revisionPtr revIDLastSave="0" documentId="13_ncr:20001_{3AB598F2-088A-45BE-8173-39E4CD69AF2F}" xr6:coauthVersionLast="47" xr6:coauthVersionMax="47" xr10:uidLastSave="{00000000-0000-0000-0000-000000000000}"/>
  <bookViews>
    <workbookView xWindow="-14505" yWindow="0" windowWidth="14610" windowHeight="15585" xr2:uid="{00000000-000D-0000-FFFF-FFFF00000000}"/>
  </bookViews>
  <sheets>
    <sheet name="Foundations" sheetId="1" r:id="rId1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1" i="1" l="1"/>
  <c r="G80" i="1"/>
  <c r="G79" i="1"/>
  <c r="G73" i="1"/>
  <c r="G72" i="1"/>
  <c r="G74" i="1" s="1"/>
  <c r="G68" i="1"/>
  <c r="G67" i="1"/>
  <c r="G69" i="1" s="1"/>
  <c r="G63" i="1"/>
  <c r="G64" i="1" s="1"/>
  <c r="G49" i="1"/>
  <c r="G48" i="1"/>
  <c r="G47" i="1"/>
  <c r="G50" i="1" s="1"/>
  <c r="G33" i="1"/>
  <c r="G32" i="1"/>
  <c r="G31" i="1"/>
  <c r="G16" i="1"/>
  <c r="G17" i="1"/>
  <c r="G15" i="1"/>
  <c r="G18" i="1" s="1"/>
  <c r="G54" i="1"/>
  <c r="G53" i="1"/>
  <c r="G55" i="1" s="1"/>
  <c r="G38" i="1"/>
  <c r="G37" i="1"/>
  <c r="G22" i="1"/>
  <c r="G21" i="1"/>
  <c r="G23" i="1" s="1"/>
  <c r="G88" i="1" s="1"/>
  <c r="G57" i="1" l="1"/>
  <c r="G34" i="1"/>
  <c r="G39" i="1"/>
  <c r="G86" i="1"/>
  <c r="G25" i="1"/>
  <c r="G41" i="1" l="1"/>
</calcChain>
</file>

<file path=xl/sharedStrings.xml><?xml version="1.0" encoding="utf-8"?>
<sst xmlns="http://schemas.openxmlformats.org/spreadsheetml/2006/main" count="100" uniqueCount="65">
  <si>
    <t>UNIVERSITY OF FORT HARE - FINANCE OFFICE CONVERSION</t>
  </si>
  <si>
    <t>BILL 1: FOUNDATIONS</t>
  </si>
  <si>
    <t>From Drawing: S-01-25055-20-001-Rev E</t>
  </si>
  <si>
    <t>SPECIFICATIONS:</t>
  </si>
  <si>
    <t>• All trench foundations: 700mm wide x 850mm deep</t>
  </si>
  <si>
    <t>• Foundation concrete: 25MPa, 300mm thick</t>
  </si>
  <si>
    <t>• Foundation brickwork height: 550mm</t>
  </si>
  <si>
    <t>Item Description</t>
  </si>
  <si>
    <t>Qty</t>
  </si>
  <si>
    <t>Unit</t>
  </si>
  <si>
    <t>Length</t>
  </si>
  <si>
    <t xml:space="preserve">  Width</t>
  </si>
  <si>
    <t xml:space="preserve">  Depth/Height</t>
  </si>
  <si>
    <t>1. EXCAVATION</t>
  </si>
  <si>
    <t>Excavate foundation trenches, 700mm wide x 850mm deep</t>
  </si>
  <si>
    <t>Main building strip foundations</t>
  </si>
  <si>
    <t>m³</t>
  </si>
  <si>
    <t>Ancillary/ablution block foundations</t>
  </si>
  <si>
    <t>External bench seating foundations</t>
  </si>
  <si>
    <t>Sub-total: Excavation to trenches</t>
  </si>
  <si>
    <t>Excavate foundation pads for columns, 850mm deep</t>
  </si>
  <si>
    <t>Column pads 1200 x 1200mm</t>
  </si>
  <si>
    <t>nr</t>
  </si>
  <si>
    <t>Column pads 1500 x 1500mm</t>
  </si>
  <si>
    <t>Sub-total: Excavation to pads</t>
  </si>
  <si>
    <t>TOTAL EXCAVATION</t>
  </si>
  <si>
    <t>2. RISK OF COLLAPSE</t>
  </si>
  <si>
    <t>Risk of collapse of sides of excavations not exceeding 1.5m high</t>
  </si>
  <si>
    <t>Strip foundation trenches - main building (centre line x 0.85m x 2 sides)</t>
  </si>
  <si>
    <t>m²</t>
  </si>
  <si>
    <t>Strip foundation trenches - ancillary block (centre line x 0.85m x 2 sides)</t>
  </si>
  <si>
    <t>Strip foundation trenches - external benches (centre line x 0.85m x 2 sides)</t>
  </si>
  <si>
    <t>Sub-total: Risk - trench sides</t>
  </si>
  <si>
    <t>Column pad foundations - 4 sides per pad</t>
  </si>
  <si>
    <t>Pads 1200 x 1200mm (perimeter 4.8m x 0.85m depth)</t>
  </si>
  <si>
    <t>Pads 1500 x 1500mm (perimeter 6.0m x 0.85m depth)</t>
  </si>
  <si>
    <t>Sub-total: Risk - pad sides</t>
  </si>
  <si>
    <t>TOTAL RISK OF COLLAPSE (sides of excavations not exceeding 1.5m high)</t>
  </si>
  <si>
    <t>4. CONCRETE IN FOUNDATIONS</t>
  </si>
  <si>
    <t>25MPa concrete in strip foundations, 700mm wide x 300mm thick</t>
  </si>
  <si>
    <t>Main building foundations</t>
  </si>
  <si>
    <t>Ancillary/ablution block</t>
  </si>
  <si>
    <t>External bench seating</t>
  </si>
  <si>
    <t>Sub-total: Concrete to strip foundations</t>
  </si>
  <si>
    <t>25MPa concrete in pad foundations, 300mm thick</t>
  </si>
  <si>
    <t>Pads 1200 x 1200mm</t>
  </si>
  <si>
    <t>Pads 1500 x 1500mm</t>
  </si>
  <si>
    <t>Sub-total: Concrete to pad foundations</t>
  </si>
  <si>
    <t>TOTAL CONCRETE (25MPa, 300mm thick)</t>
  </si>
  <si>
    <t>5. FOUNDATION BRICKWORK</t>
  </si>
  <si>
    <t>230mm thick solid brickwork, 550mm high, 14MPa (single skin)</t>
  </si>
  <si>
    <t>Internal walls and 230mm thick walls</t>
  </si>
  <si>
    <t>Sub-total: 230mm brickwork</t>
  </si>
  <si>
    <t>270mm cavity walls (two 110mm skins + 60mm cavity), 550mm high, 14MPa</t>
  </si>
  <si>
    <t>Outer skin 110mm brickwork</t>
  </si>
  <si>
    <t>Inner skin 110mm brickwork</t>
  </si>
  <si>
    <t>Sub-total: 270mm cavity wall brickwork</t>
  </si>
  <si>
    <t>330mm cavity walls (two 110mm skins + 110mm cavity), 550mm high, 14MPa</t>
  </si>
  <si>
    <t>Sub-total: 330mm cavity wall brickwork</t>
  </si>
  <si>
    <t>6. MASS CONCRETE CAVITY FILL</t>
  </si>
  <si>
    <t>10MPa mass concrete filling 60mm cavity in 270mm walls, 110mm wide x 550mm high</t>
  </si>
  <si>
    <t>10MPa mass concrete filling 110mm cavity in 330mm walls, 110mm wide x 550mm high</t>
  </si>
  <si>
    <t>7. BACKFILLING</t>
  </si>
  <si>
    <t>Backfill to trenches with selected excavated material (50% of trench excavation)</t>
  </si>
  <si>
    <t>Backfill to holes/pads with selected material (50% of pad excavation)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</si>
</sst>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Cambria"/>
      <family val="1"/>
    </font>
    <font>
      <b/>
      <sz val="12"/>
      <name val="Cambria"/>
      <family val="1"/>
    </font>
    <font>
      <i/>
      <sz val="11"/>
      <name val="Cambria"/>
      <family val="1"/>
    </font>
    <font>
      <b/>
      <u/>
      <sz val="11"/>
      <name val="Cambria"/>
      <family val="1"/>
    </font>
    <font>
      <b/>
      <sz val="1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theme="6" tint="0.79998168889431442"/>
        <bgColor rgb="FF666699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6" fillId="3" borderId="0" xfId="0" applyFont="1" applyFill="1"/>
    <xf numFmtId="0" fontId="6" fillId="0" borderId="0" xfId="0" applyFont="1"/>
    <xf numFmtId="0" fontId="6" fillId="4" borderId="0" xfId="0" applyFont="1" applyFill="1"/>
    <xf numFmtId="43" fontId="1" fillId="0" borderId="1" xfId="1" applyBorder="1"/>
    <xf numFmtId="0" fontId="6" fillId="5" borderId="0" xfId="0" applyFont="1" applyFill="1"/>
    <xf numFmtId="0" fontId="0" fillId="6" borderId="0" xfId="0" applyFill="1"/>
    <xf numFmtId="0" fontId="6" fillId="6" borderId="0" xfId="0" applyFont="1" applyFill="1"/>
    <xf numFmtId="43" fontId="1" fillId="0" borderId="0" xfId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tabSelected="1" topLeftCell="A68" zoomScale="85" zoomScaleNormal="85" workbookViewId="0">
      <selection activeCell="A93" sqref="A93"/>
    </sheetView>
  </sheetViews>
  <sheetFormatPr defaultColWidth="8.6640625" defaultRowHeight="14.4" x14ac:dyDescent="0.3"/>
  <cols>
    <col min="1" max="1" width="70" customWidth="1"/>
    <col min="2" max="3" width="8" customWidth="1"/>
    <col min="4" max="6" width="12" customWidth="1"/>
    <col min="7" max="7" width="15" customWidth="1"/>
  </cols>
  <sheetData>
    <row r="1" spans="1:7" ht="17.399999999999999" x14ac:dyDescent="0.3">
      <c r="A1" s="1" t="s">
        <v>0</v>
      </c>
    </row>
    <row r="2" spans="1:7" ht="15.6" x14ac:dyDescent="0.3">
      <c r="A2" s="2" t="s">
        <v>1</v>
      </c>
    </row>
    <row r="3" spans="1:7" x14ac:dyDescent="0.3">
      <c r="A3" s="3" t="s">
        <v>2</v>
      </c>
    </row>
    <row r="5" spans="1:7" x14ac:dyDescent="0.3">
      <c r="A5" s="4" t="s">
        <v>3</v>
      </c>
    </row>
    <row r="6" spans="1:7" x14ac:dyDescent="0.3">
      <c r="A6" t="s">
        <v>4</v>
      </c>
    </row>
    <row r="7" spans="1:7" x14ac:dyDescent="0.3">
      <c r="A7" t="s">
        <v>5</v>
      </c>
    </row>
    <row r="8" spans="1:7" x14ac:dyDescent="0.3">
      <c r="A8" t="s">
        <v>6</v>
      </c>
    </row>
    <row r="11" spans="1:7" x14ac:dyDescent="0.3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</row>
    <row r="12" spans="1:7" x14ac:dyDescent="0.3">
      <c r="A12" s="10" t="s">
        <v>13</v>
      </c>
    </row>
    <row r="13" spans="1:7" x14ac:dyDescent="0.3">
      <c r="A13" s="11"/>
    </row>
    <row r="14" spans="1:7" x14ac:dyDescent="0.3">
      <c r="A14" s="11" t="s">
        <v>14</v>
      </c>
    </row>
    <row r="15" spans="1:7" x14ac:dyDescent="0.3">
      <c r="A15" s="11" t="s">
        <v>15</v>
      </c>
      <c r="C15" t="s">
        <v>16</v>
      </c>
      <c r="D15">
        <v>142</v>
      </c>
      <c r="E15">
        <v>0.7</v>
      </c>
      <c r="F15">
        <v>0.85</v>
      </c>
      <c r="G15">
        <f>D15*E15*F15</f>
        <v>84.49</v>
      </c>
    </row>
    <row r="16" spans="1:7" x14ac:dyDescent="0.3">
      <c r="A16" s="11" t="s">
        <v>17</v>
      </c>
      <c r="C16" t="s">
        <v>16</v>
      </c>
      <c r="D16">
        <v>32</v>
      </c>
      <c r="E16">
        <v>0.7</v>
      </c>
      <c r="F16">
        <v>0.85</v>
      </c>
      <c r="G16">
        <f>D16*E16*F16</f>
        <v>19.04</v>
      </c>
    </row>
    <row r="17" spans="1:7" x14ac:dyDescent="0.3">
      <c r="A17" s="11" t="s">
        <v>18</v>
      </c>
      <c r="C17" t="s">
        <v>16</v>
      </c>
      <c r="D17">
        <v>18</v>
      </c>
      <c r="E17">
        <v>0.7</v>
      </c>
      <c r="F17">
        <v>0.85</v>
      </c>
      <c r="G17">
        <f>D17*E17*F17</f>
        <v>10.709999999999999</v>
      </c>
    </row>
    <row r="18" spans="1:7" x14ac:dyDescent="0.3">
      <c r="A18" s="12" t="s">
        <v>19</v>
      </c>
      <c r="C18" t="s">
        <v>16</v>
      </c>
      <c r="G18" s="7">
        <f>SUM(G15:G17)</f>
        <v>114.24</v>
      </c>
    </row>
    <row r="19" spans="1:7" x14ac:dyDescent="0.3">
      <c r="A19" s="11"/>
    </row>
    <row r="20" spans="1:7" x14ac:dyDescent="0.3">
      <c r="A20" s="11" t="s">
        <v>20</v>
      </c>
    </row>
    <row r="21" spans="1:7" x14ac:dyDescent="0.3">
      <c r="A21" s="11" t="s">
        <v>21</v>
      </c>
      <c r="B21">
        <v>10</v>
      </c>
      <c r="C21" t="s">
        <v>22</v>
      </c>
      <c r="D21">
        <v>1.2</v>
      </c>
      <c r="E21">
        <v>1.2</v>
      </c>
      <c r="F21">
        <v>0.85</v>
      </c>
      <c r="G21">
        <f>B21*D21*E21*F21</f>
        <v>12.239999999999998</v>
      </c>
    </row>
    <row r="22" spans="1:7" x14ac:dyDescent="0.3">
      <c r="A22" s="11" t="s">
        <v>23</v>
      </c>
      <c r="B22">
        <v>6</v>
      </c>
      <c r="C22" t="s">
        <v>22</v>
      </c>
      <c r="D22">
        <v>1.5</v>
      </c>
      <c r="E22">
        <v>1.5</v>
      </c>
      <c r="F22">
        <v>0.85</v>
      </c>
      <c r="G22">
        <f>B22*D22*E22*F22</f>
        <v>11.475</v>
      </c>
    </row>
    <row r="23" spans="1:7" x14ac:dyDescent="0.3">
      <c r="A23" s="12" t="s">
        <v>24</v>
      </c>
      <c r="C23" t="s">
        <v>16</v>
      </c>
      <c r="G23" s="7">
        <f>SUM(G21:G22)</f>
        <v>23.714999999999996</v>
      </c>
    </row>
    <row r="24" spans="1:7" x14ac:dyDescent="0.3">
      <c r="A24" s="11"/>
    </row>
    <row r="25" spans="1:7" x14ac:dyDescent="0.3">
      <c r="A25" s="12" t="s">
        <v>25</v>
      </c>
      <c r="C25" t="s">
        <v>16</v>
      </c>
      <c r="G25" s="8">
        <f>G18+G23</f>
        <v>137.95499999999998</v>
      </c>
    </row>
    <row r="26" spans="1:7" x14ac:dyDescent="0.3">
      <c r="A26" s="11"/>
    </row>
    <row r="27" spans="1:7" x14ac:dyDescent="0.3">
      <c r="A27" s="11"/>
    </row>
    <row r="28" spans="1:7" x14ac:dyDescent="0.3">
      <c r="A28" s="6" t="s">
        <v>26</v>
      </c>
    </row>
    <row r="29" spans="1:7" x14ac:dyDescent="0.3">
      <c r="A29" s="11"/>
    </row>
    <row r="30" spans="1:7" x14ac:dyDescent="0.3">
      <c r="A30" s="11" t="s">
        <v>27</v>
      </c>
    </row>
    <row r="31" spans="1:7" x14ac:dyDescent="0.3">
      <c r="A31" s="11" t="s">
        <v>28</v>
      </c>
      <c r="C31" t="s">
        <v>29</v>
      </c>
      <c r="D31">
        <v>142</v>
      </c>
      <c r="E31">
        <v>0.85</v>
      </c>
      <c r="F31">
        <v>2</v>
      </c>
      <c r="G31">
        <f>D31*E31*F31</f>
        <v>241.4</v>
      </c>
    </row>
    <row r="32" spans="1:7" x14ac:dyDescent="0.3">
      <c r="A32" s="11" t="s">
        <v>30</v>
      </c>
      <c r="C32" t="s">
        <v>29</v>
      </c>
      <c r="D32">
        <v>32</v>
      </c>
      <c r="E32">
        <v>0.85</v>
      </c>
      <c r="F32">
        <v>2</v>
      </c>
      <c r="G32">
        <f>D32*E32*F32</f>
        <v>54.4</v>
      </c>
    </row>
    <row r="33" spans="1:7" x14ac:dyDescent="0.3">
      <c r="A33" s="11" t="s">
        <v>31</v>
      </c>
      <c r="C33" t="s">
        <v>29</v>
      </c>
      <c r="D33">
        <v>18</v>
      </c>
      <c r="E33">
        <v>0.85</v>
      </c>
      <c r="F33">
        <v>2</v>
      </c>
      <c r="G33">
        <f>D33*E33*F33</f>
        <v>30.599999999999998</v>
      </c>
    </row>
    <row r="34" spans="1:7" x14ac:dyDescent="0.3">
      <c r="A34" s="12" t="s">
        <v>32</v>
      </c>
      <c r="C34" t="s">
        <v>29</v>
      </c>
      <c r="G34" s="7">
        <f>SUM(G31:G33)</f>
        <v>326.40000000000003</v>
      </c>
    </row>
    <row r="35" spans="1:7" x14ac:dyDescent="0.3">
      <c r="A35" s="11"/>
    </row>
    <row r="36" spans="1:7" x14ac:dyDescent="0.3">
      <c r="A36" s="11" t="s">
        <v>33</v>
      </c>
    </row>
    <row r="37" spans="1:7" x14ac:dyDescent="0.3">
      <c r="A37" s="11" t="s">
        <v>34</v>
      </c>
      <c r="B37">
        <v>10</v>
      </c>
      <c r="C37" t="s">
        <v>22</v>
      </c>
      <c r="D37">
        <v>4.8</v>
      </c>
      <c r="E37">
        <v>0.85</v>
      </c>
      <c r="G37">
        <f>B37*D37*E37</f>
        <v>40.799999999999997</v>
      </c>
    </row>
    <row r="38" spans="1:7" x14ac:dyDescent="0.3">
      <c r="A38" s="11" t="s">
        <v>35</v>
      </c>
      <c r="B38">
        <v>6</v>
      </c>
      <c r="C38" t="s">
        <v>22</v>
      </c>
      <c r="D38">
        <v>6</v>
      </c>
      <c r="E38">
        <v>0.85</v>
      </c>
      <c r="G38">
        <f>B38*D38*E38</f>
        <v>30.599999999999998</v>
      </c>
    </row>
    <row r="39" spans="1:7" x14ac:dyDescent="0.3">
      <c r="A39" s="12" t="s">
        <v>36</v>
      </c>
      <c r="C39" t="s">
        <v>29</v>
      </c>
      <c r="G39" s="7">
        <f>SUM(G37:G38)</f>
        <v>71.399999999999991</v>
      </c>
    </row>
    <row r="40" spans="1:7" x14ac:dyDescent="0.3">
      <c r="A40" s="11"/>
    </row>
    <row r="41" spans="1:7" x14ac:dyDescent="0.3">
      <c r="A41" s="12" t="s">
        <v>37</v>
      </c>
      <c r="C41" t="s">
        <v>29</v>
      </c>
      <c r="G41" s="8">
        <f>G34+G39</f>
        <v>397.8</v>
      </c>
    </row>
    <row r="42" spans="1:7" x14ac:dyDescent="0.3">
      <c r="A42" s="11"/>
    </row>
    <row r="43" spans="1:7" x14ac:dyDescent="0.3">
      <c r="A43" s="11"/>
    </row>
    <row r="44" spans="1:7" x14ac:dyDescent="0.3">
      <c r="A44" s="6" t="s">
        <v>38</v>
      </c>
    </row>
    <row r="45" spans="1:7" x14ac:dyDescent="0.3">
      <c r="A45" s="11"/>
    </row>
    <row r="46" spans="1:7" x14ac:dyDescent="0.3">
      <c r="A46" s="11" t="s">
        <v>39</v>
      </c>
    </row>
    <row r="47" spans="1:7" x14ac:dyDescent="0.3">
      <c r="A47" s="11" t="s">
        <v>40</v>
      </c>
      <c r="C47" t="s">
        <v>16</v>
      </c>
      <c r="D47">
        <v>142</v>
      </c>
      <c r="E47">
        <v>0.7</v>
      </c>
      <c r="F47">
        <v>0.3</v>
      </c>
      <c r="G47">
        <f t="shared" ref="G47:G49" si="0">D47*E47*F47</f>
        <v>29.819999999999997</v>
      </c>
    </row>
    <row r="48" spans="1:7" x14ac:dyDescent="0.3">
      <c r="A48" s="11" t="s">
        <v>41</v>
      </c>
      <c r="C48" t="s">
        <v>16</v>
      </c>
      <c r="D48">
        <v>32</v>
      </c>
      <c r="E48">
        <v>0.7</v>
      </c>
      <c r="F48">
        <v>0.3</v>
      </c>
      <c r="G48">
        <f t="shared" si="0"/>
        <v>6.72</v>
      </c>
    </row>
    <row r="49" spans="1:7" x14ac:dyDescent="0.3">
      <c r="A49" s="11" t="s">
        <v>42</v>
      </c>
      <c r="C49" t="s">
        <v>16</v>
      </c>
      <c r="D49">
        <v>18</v>
      </c>
      <c r="E49">
        <v>0.7</v>
      </c>
      <c r="F49">
        <v>0.3</v>
      </c>
      <c r="G49">
        <f t="shared" si="0"/>
        <v>3.78</v>
      </c>
    </row>
    <row r="50" spans="1:7" x14ac:dyDescent="0.3">
      <c r="A50" s="12" t="s">
        <v>43</v>
      </c>
      <c r="C50" t="s">
        <v>16</v>
      </c>
      <c r="G50" s="7">
        <f>SUM(G47:G49)</f>
        <v>40.32</v>
      </c>
    </row>
    <row r="51" spans="1:7" x14ac:dyDescent="0.3">
      <c r="A51" s="11"/>
    </row>
    <row r="52" spans="1:7" x14ac:dyDescent="0.3">
      <c r="A52" s="11" t="s">
        <v>44</v>
      </c>
    </row>
    <row r="53" spans="1:7" x14ac:dyDescent="0.3">
      <c r="A53" s="11" t="s">
        <v>45</v>
      </c>
      <c r="B53">
        <v>10</v>
      </c>
      <c r="C53" t="s">
        <v>22</v>
      </c>
      <c r="D53">
        <v>1.2</v>
      </c>
      <c r="E53">
        <v>1.2</v>
      </c>
      <c r="F53">
        <v>0.3</v>
      </c>
      <c r="G53">
        <f>B53*D53*E53*F53</f>
        <v>4.3199999999999994</v>
      </c>
    </row>
    <row r="54" spans="1:7" x14ac:dyDescent="0.3">
      <c r="A54" s="11" t="s">
        <v>46</v>
      </c>
      <c r="B54">
        <v>6</v>
      </c>
      <c r="C54" t="s">
        <v>22</v>
      </c>
      <c r="D54">
        <v>1.5</v>
      </c>
      <c r="E54">
        <v>1.5</v>
      </c>
      <c r="F54">
        <v>0.3</v>
      </c>
      <c r="G54">
        <f>B54*D54*E54*F54</f>
        <v>4.05</v>
      </c>
    </row>
    <row r="55" spans="1:7" x14ac:dyDescent="0.3">
      <c r="A55" s="12" t="s">
        <v>47</v>
      </c>
      <c r="C55" t="s">
        <v>16</v>
      </c>
      <c r="G55" s="7">
        <f>SUM(G53:G54)</f>
        <v>8.3699999999999992</v>
      </c>
    </row>
    <row r="56" spans="1:7" x14ac:dyDescent="0.3">
      <c r="A56" s="11"/>
    </row>
    <row r="57" spans="1:7" x14ac:dyDescent="0.3">
      <c r="A57" s="12" t="s">
        <v>48</v>
      </c>
      <c r="C57" t="s">
        <v>16</v>
      </c>
      <c r="G57" s="8">
        <f>G50+G55</f>
        <v>48.69</v>
      </c>
    </row>
    <row r="58" spans="1:7" x14ac:dyDescent="0.3">
      <c r="A58" s="11"/>
    </row>
    <row r="59" spans="1:7" x14ac:dyDescent="0.3">
      <c r="A59" s="11"/>
    </row>
    <row r="60" spans="1:7" x14ac:dyDescent="0.3">
      <c r="A60" s="6" t="s">
        <v>49</v>
      </c>
    </row>
    <row r="61" spans="1:7" x14ac:dyDescent="0.3">
      <c r="A61" s="11"/>
    </row>
    <row r="62" spans="1:7" x14ac:dyDescent="0.3">
      <c r="A62" s="11" t="s">
        <v>50</v>
      </c>
    </row>
    <row r="63" spans="1:7" x14ac:dyDescent="0.3">
      <c r="A63" s="11" t="s">
        <v>51</v>
      </c>
      <c r="C63" t="s">
        <v>29</v>
      </c>
      <c r="D63">
        <v>95</v>
      </c>
      <c r="E63">
        <v>0.55000000000000004</v>
      </c>
      <c r="G63" s="9">
        <f>D63*E63</f>
        <v>52.250000000000007</v>
      </c>
    </row>
    <row r="64" spans="1:7" x14ac:dyDescent="0.3">
      <c r="A64" s="12" t="s">
        <v>52</v>
      </c>
      <c r="C64" t="s">
        <v>29</v>
      </c>
      <c r="G64" s="7">
        <f>G63</f>
        <v>52.250000000000007</v>
      </c>
    </row>
    <row r="65" spans="1:7" x14ac:dyDescent="0.3">
      <c r="A65" s="11"/>
    </row>
    <row r="66" spans="1:7" x14ac:dyDescent="0.3">
      <c r="A66" s="11" t="s">
        <v>53</v>
      </c>
    </row>
    <row r="67" spans="1:7" x14ac:dyDescent="0.3">
      <c r="A67" s="11" t="s">
        <v>54</v>
      </c>
      <c r="C67" t="s">
        <v>29</v>
      </c>
      <c r="D67">
        <v>42</v>
      </c>
      <c r="E67">
        <v>0.55000000000000004</v>
      </c>
      <c r="G67" s="9">
        <f>D67*E67</f>
        <v>23.1</v>
      </c>
    </row>
    <row r="68" spans="1:7" x14ac:dyDescent="0.3">
      <c r="A68" s="11" t="s">
        <v>55</v>
      </c>
      <c r="C68" t="s">
        <v>29</v>
      </c>
      <c r="D68">
        <v>42</v>
      </c>
      <c r="E68">
        <v>0.55000000000000004</v>
      </c>
      <c r="G68" s="9">
        <f>D68*E68</f>
        <v>23.1</v>
      </c>
    </row>
    <row r="69" spans="1:7" x14ac:dyDescent="0.3">
      <c r="A69" s="12" t="s">
        <v>56</v>
      </c>
      <c r="C69" t="s">
        <v>29</v>
      </c>
      <c r="G69" s="7">
        <f>SUM(G67:G68)</f>
        <v>46.2</v>
      </c>
    </row>
    <row r="70" spans="1:7" x14ac:dyDescent="0.3">
      <c r="A70" s="11"/>
    </row>
    <row r="71" spans="1:7" x14ac:dyDescent="0.3">
      <c r="A71" s="11" t="s">
        <v>57</v>
      </c>
    </row>
    <row r="72" spans="1:7" x14ac:dyDescent="0.3">
      <c r="A72" s="11" t="s">
        <v>54</v>
      </c>
      <c r="C72" t="s">
        <v>29</v>
      </c>
      <c r="D72">
        <v>55</v>
      </c>
      <c r="E72">
        <v>0.55000000000000004</v>
      </c>
      <c r="G72" s="9">
        <f>D72*E72</f>
        <v>30.250000000000004</v>
      </c>
    </row>
    <row r="73" spans="1:7" x14ac:dyDescent="0.3">
      <c r="A73" s="11" t="s">
        <v>55</v>
      </c>
      <c r="C73" t="s">
        <v>29</v>
      </c>
      <c r="D73">
        <v>55</v>
      </c>
      <c r="E73">
        <v>0.55000000000000004</v>
      </c>
      <c r="G73" s="9">
        <f>D73*E73</f>
        <v>30.250000000000004</v>
      </c>
    </row>
    <row r="74" spans="1:7" x14ac:dyDescent="0.3">
      <c r="A74" s="12" t="s">
        <v>58</v>
      </c>
      <c r="C74" t="s">
        <v>29</v>
      </c>
      <c r="G74" s="7">
        <f>SUM(G72:G73)</f>
        <v>60.500000000000007</v>
      </c>
    </row>
    <row r="75" spans="1:7" x14ac:dyDescent="0.3">
      <c r="A75" s="11"/>
    </row>
    <row r="76" spans="1:7" x14ac:dyDescent="0.3">
      <c r="A76" s="11"/>
      <c r="G76" s="13"/>
    </row>
    <row r="77" spans="1:7" x14ac:dyDescent="0.3">
      <c r="A77" s="6" t="s">
        <v>59</v>
      </c>
      <c r="G77" s="13"/>
    </row>
    <row r="78" spans="1:7" x14ac:dyDescent="0.3">
      <c r="A78" s="11"/>
      <c r="G78" s="13"/>
    </row>
    <row r="79" spans="1:7" x14ac:dyDescent="0.3">
      <c r="A79" s="11" t="s">
        <v>60</v>
      </c>
      <c r="C79" t="s">
        <v>16</v>
      </c>
      <c r="D79">
        <v>42</v>
      </c>
      <c r="E79">
        <v>0.06</v>
      </c>
      <c r="F79">
        <v>0.55000000000000004</v>
      </c>
      <c r="G79" s="13">
        <f t="shared" ref="G79:G81" si="1">D79*E79*F79</f>
        <v>1.3860000000000001</v>
      </c>
    </row>
    <row r="80" spans="1:7" x14ac:dyDescent="0.3">
      <c r="A80" s="11"/>
      <c r="G80" s="13">
        <f t="shared" si="1"/>
        <v>0</v>
      </c>
    </row>
    <row r="81" spans="1:7" x14ac:dyDescent="0.3">
      <c r="A81" s="11" t="s">
        <v>61</v>
      </c>
      <c r="C81" t="s">
        <v>16</v>
      </c>
      <c r="D81">
        <v>55</v>
      </c>
      <c r="E81">
        <v>0.11</v>
      </c>
      <c r="F81">
        <v>0.55000000000000004</v>
      </c>
      <c r="G81" s="13">
        <f t="shared" si="1"/>
        <v>3.3275000000000001</v>
      </c>
    </row>
    <row r="82" spans="1:7" x14ac:dyDescent="0.3">
      <c r="A82" s="11"/>
      <c r="G82" s="13"/>
    </row>
    <row r="83" spans="1:7" x14ac:dyDescent="0.3">
      <c r="A83" s="11"/>
      <c r="G83" s="13"/>
    </row>
    <row r="84" spans="1:7" x14ac:dyDescent="0.3">
      <c r="A84" s="6" t="s">
        <v>62</v>
      </c>
    </row>
    <row r="85" spans="1:7" x14ac:dyDescent="0.3">
      <c r="A85" s="11"/>
    </row>
    <row r="86" spans="1:7" x14ac:dyDescent="0.3">
      <c r="A86" s="11" t="s">
        <v>63</v>
      </c>
      <c r="C86" t="s">
        <v>16</v>
      </c>
      <c r="G86">
        <f>G18*0.5</f>
        <v>57.12</v>
      </c>
    </row>
    <row r="87" spans="1:7" x14ac:dyDescent="0.3">
      <c r="A87" s="11"/>
    </row>
    <row r="88" spans="1:7" x14ac:dyDescent="0.3">
      <c r="A88" s="11" t="s">
        <v>64</v>
      </c>
      <c r="C88" t="s">
        <v>16</v>
      </c>
      <c r="G88">
        <f>G23*0.5</f>
        <v>11.857499999999998</v>
      </c>
    </row>
    <row r="89" spans="1:7" x14ac:dyDescent="0.3">
      <c r="A89" s="1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Dell</dc:creator>
  <cp:lastModifiedBy>Ron Dell</cp:lastModifiedBy>
  <dcterms:created xsi:type="dcterms:W3CDTF">2026-01-02T12:26:47Z</dcterms:created>
  <dcterms:modified xsi:type="dcterms:W3CDTF">2026-01-02T13:07:06Z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2026-01-02T12:09:05Z</dcterms:created>
  <dc:creator>openpyxl</dc:creator>
  <dc:description/>
  <dc:language>en-US</dc:language>
  <cp:lastModifiedBy/>
  <dcterms:modified xsi:type="dcterms:W3CDTF">2026-01-02T12:09:05Z</dcterms:modified>
  <cp:revision>0</cp:revision>
  <dc:subject/>
  <dc:title/>
</cp:coreProperties>
</file>