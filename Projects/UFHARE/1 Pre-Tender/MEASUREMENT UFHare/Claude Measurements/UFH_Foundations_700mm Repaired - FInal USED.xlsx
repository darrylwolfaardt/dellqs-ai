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on\OneDrive\Documents\Documents\5 EXCELQS Projects\UFHARE - FINANCE OFFICE CONVERSION\1 Pre-Tender\MEASUREMENT UFHare\Claude Measurements\"/>
    </mc:Choice>
  </mc:AlternateContent>
  <xr:revisionPtr revIDLastSave="0" documentId="13_ncr:20001_{830D06C9-51B7-45F8-B0EA-2518E950FFD0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Foundations" sheetId="1" r:id="rId1"/>
  </sheets>
  <externalReferences>
    <externalReference r:id="rId2"/>
  </externalReferenc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0" i="1" l="1"/>
  <c r="I98" i="1"/>
  <c r="I92" i="1"/>
  <c r="I91" i="1"/>
  <c r="I87" i="1"/>
  <c r="I86" i="1"/>
  <c r="I82" i="1"/>
  <c r="I83" i="1" s="1"/>
  <c r="I23" i="1"/>
  <c r="I24" i="1"/>
  <c r="I22" i="1"/>
  <c r="I73" i="1"/>
  <c r="I72" i="1"/>
  <c r="I29" i="1"/>
  <c r="I28" i="1"/>
  <c r="I30" i="1" s="1"/>
  <c r="I60" i="1" s="1"/>
  <c r="I93" i="1" l="1"/>
  <c r="I25" i="1"/>
  <c r="I53" i="1"/>
  <c r="I88" i="1"/>
  <c r="I74" i="1"/>
  <c r="I58" i="1" l="1"/>
  <c r="I32" i="1"/>
  <c r="I76" i="1"/>
</calcChain>
</file>

<file path=xl/sharedStrings.xml><?xml version="1.0" encoding="utf-8"?>
<sst xmlns="http://schemas.openxmlformats.org/spreadsheetml/2006/main" count="109" uniqueCount="73">
  <si>
    <t>UNIVERSITY OF FORT HARE - FINANCE OFFICE CONVERSION</t>
  </si>
  <si>
    <t>BILL 1: FOUNDATIONS</t>
  </si>
  <si>
    <t>From Drawing: S-01-25055-20-001-Rev E - Foundation Layout</t>
  </si>
  <si>
    <t>SPECIFICATIONS:</t>
  </si>
  <si>
    <t>• All trench foundations: 700mm wide x 850mm deep</t>
  </si>
  <si>
    <t>• Foundation concrete: 25MPa, 300mm thick</t>
  </si>
  <si>
    <t>• Foundation brickwork height: 550mm (850mm - 300mm)</t>
  </si>
  <si>
    <t>• 230mm solid brickwork: Single brick skin (14MPa)</t>
  </si>
  <si>
    <t>• 270mm cavity wall: Two 110mm skins + 60mm cavity</t>
  </si>
  <si>
    <t>• 330mm cavity wall: Two 110mm skins + 110mm cavity</t>
  </si>
  <si>
    <t>• Cavity fill: 10MPa mass concrete, 110mm x 550mm high</t>
  </si>
  <si>
    <t>• Cart away excess: 50% of total excavation</t>
  </si>
  <si>
    <t>• Backfill: 50% of respective excavation volumes</t>
  </si>
  <si>
    <t>Item Description</t>
  </si>
  <si>
    <t>Qty</t>
  </si>
  <si>
    <t>Unit</t>
  </si>
  <si>
    <t>Length</t>
  </si>
  <si>
    <t xml:space="preserve">  Width</t>
  </si>
  <si>
    <t xml:space="preserve">  Depth/Height</t>
  </si>
  <si>
    <t>1. EXCAVATION</t>
  </si>
  <si>
    <t>Excavate foundation trenches, 700mm wide x 850mm deep, cart away</t>
  </si>
  <si>
    <t>Main building - all strip foundations</t>
  </si>
  <si>
    <t>m³</t>
  </si>
  <si>
    <t>Ancillary/ablution block foundations</t>
  </si>
  <si>
    <t>External works - bench seating foundations</t>
  </si>
  <si>
    <t>Sub-total: Excavation to trenches</t>
  </si>
  <si>
    <t>Excavate foundation pads for columns, 850mm deep</t>
  </si>
  <si>
    <t>Column pads 1200 x 1200mm</t>
  </si>
  <si>
    <t>nr</t>
  </si>
  <si>
    <t>Column pads 1500 x 1500mm</t>
  </si>
  <si>
    <t>Sub-total: Excavation to pads</t>
  </si>
  <si>
    <t>TOTAL EXCAVATION</t>
  </si>
  <si>
    <t>Cart away excess excavated material (50% of total excavation)</t>
  </si>
  <si>
    <t>25MPa concrete in strip foundations, 700mm wide x 300mm thick</t>
  </si>
  <si>
    <t>Main building foundations</t>
  </si>
  <si>
    <t>Ancillary/ablution block</t>
  </si>
  <si>
    <t>External bench seating</t>
  </si>
  <si>
    <t>Sub-total: Concrete to strip foundations</t>
  </si>
  <si>
    <t>25MPa concrete in pad foundations, 300mm thick</t>
  </si>
  <si>
    <t>Pads 1200 x 1200mm</t>
  </si>
  <si>
    <t>Pads 1500 x 1500mm</t>
  </si>
  <si>
    <t>Sub-total: Concrete to pad foundations</t>
  </si>
  <si>
    <t>TOTAL CONCRETE (25MPa, 300mm thick)</t>
  </si>
  <si>
    <t>3. FOUNDATION BRICKWORK</t>
  </si>
  <si>
    <t>230mm thick solid brickwork, 550mm high, 14MPa (single skin)</t>
  </si>
  <si>
    <t>Internal walls and 230mm thick walls</t>
  </si>
  <si>
    <t>m²</t>
  </si>
  <si>
    <t>Sub-total: 230mm brickwork</t>
  </si>
  <si>
    <t>270mm cavity walls (two 110mm skins + 60mm cavity), 550mm high, 14MPa</t>
  </si>
  <si>
    <t>Outer skin 110mm brickwork</t>
  </si>
  <si>
    <t>Inner skin 110mm brickwork</t>
  </si>
  <si>
    <t>Sub-total: 270mm cavity wall brickwork</t>
  </si>
  <si>
    <t>330mm cavity walls (two 110mm skins + 110mm cavity), 550mm high, 14MPa</t>
  </si>
  <si>
    <t>Sub-total: 330mm cavity wall brickwork</t>
  </si>
  <si>
    <t>4. MASS CONCRETE CAVITY FILL</t>
  </si>
  <si>
    <t>10MPa mass concrete filling 60mm cavity in 270mm walls, 110mm wide x 550mm high</t>
  </si>
  <si>
    <t>10MPa mass concrete filling 110mm cavity in 330mm walls, 110mm wide x 550mm high</t>
  </si>
  <si>
    <t>5. BACKFILLING</t>
  </si>
  <si>
    <t>Backfill to trenches with selected excavated material (50% of trench excavation)</t>
  </si>
  <si>
    <t>Backfill to holes/pads with selected material (50% of pad excavation)</t>
  </si>
  <si>
    <t>3. CARTING AWAY EXCESS</t>
  </si>
  <si>
    <t>2. RISK OF COLLAPSE</t>
  </si>
  <si>
    <t>Risk of collapse of sides of excavations not exceeding 1.5m high</t>
  </si>
  <si>
    <t>Strip foundation trenches - main building (centre line x 0.85m x 2 sides)</t>
  </si>
  <si>
    <t>Strip foundation trenches - ancillary block (centre line x 0.85m x 2 sides)</t>
  </si>
  <si>
    <t>Strip foundation trenches - external benches (centre line x 0.85m x 2 sides)</t>
  </si>
  <si>
    <t>Sub-total: Risk - trench sides</t>
  </si>
  <si>
    <t>Column pad foundations - 4 sides per pad</t>
  </si>
  <si>
    <t>Pads 1200 x 1200mm (perimeter 4.8m x 0.85m depth)</t>
  </si>
  <si>
    <t>Pads 1500 x 1500mm (perimeter 6.0m x 0.85m depth)</t>
  </si>
  <si>
    <t>Sub-total: Risk - pad sides</t>
  </si>
  <si>
    <t>TOTAL RISK OF COLLAPSE (sides of excavations not exceeding 1.5m high)</t>
  </si>
  <si>
    <t>3. CONCRETE IN FOUNDATIONS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</si>
</sst>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Cambria"/>
      <family val="1"/>
    </font>
    <font>
      <b/>
      <sz val="12"/>
      <name val="Cambria"/>
      <family val="1"/>
    </font>
    <font>
      <i/>
      <sz val="11"/>
      <name val="Cambria"/>
      <family val="1"/>
    </font>
    <font>
      <b/>
      <u/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23">
    <xf numFmtId="0" fontId="0" fillId="0" borderId="0" xfId="0"/>
    <xf numFmtId="43" fontId="1" fillId="0" borderId="0" xfId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3" fontId="1" fillId="0" borderId="1" xfId="1" applyBorder="1"/>
    <xf numFmtId="0" fontId="6" fillId="2" borderId="1" xfId="0" applyFont="1" applyFill="1" applyBorder="1" applyAlignment="1">
      <alignment horizontal="center"/>
    </xf>
    <xf numFmtId="43" fontId="7" fillId="0" borderId="2" xfId="1" applyFont="1" applyBorder="1"/>
    <xf numFmtId="43" fontId="1" fillId="3" borderId="1" xfId="1" applyFill="1" applyBorder="1"/>
    <xf numFmtId="43" fontId="7" fillId="3" borderId="2" xfId="1" applyFont="1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43" fontId="7" fillId="0" borderId="1" xfId="1" applyFont="1" applyFill="1" applyBorder="1"/>
    <xf numFmtId="0" fontId="0" fillId="0" borderId="1" xfId="0" applyBorder="1"/>
    <xf numFmtId="43" fontId="1" fillId="0" borderId="1" xfId="1" applyBorder="1" applyAlignment="1">
      <alignment horizontal="center"/>
    </xf>
    <xf numFmtId="43" fontId="1" fillId="0" borderId="0" xfId="1" applyAlignment="1">
      <alignment horizontal="center"/>
    </xf>
    <xf numFmtId="0" fontId="6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5" fillId="0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6" fillId="4" borderId="0" xfId="0" applyFont="1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n\OneDrive\Documents\Documents\5%20EXCELQS%20Projects\UFHARE%20-%20FINANCE%20OFFICE%20CONVERSION\1%20Pre-Tender\MEASUREMENT%20UFHare\Claude%20Measurements\UFH_Foundations_Corrected.xlsx" TargetMode="External"/><Relationship Id="rId1" Type="http://schemas.openxmlformats.org/officeDocument/2006/relationships/externalLinkPath" Target="UFH_Foundations_Corr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undations"/>
    </sheetNames>
    <sheetDataSet>
      <sheetData sheetId="0">
        <row r="25">
          <cell r="G25">
            <v>137.95499999999998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8"/>
  <sheetViews>
    <sheetView tabSelected="1" topLeftCell="A60" zoomScale="85" zoomScaleNormal="85" workbookViewId="0">
      <selection activeCell="B85" sqref="B85"/>
    </sheetView>
  </sheetViews>
  <sheetFormatPr defaultColWidth="8.6640625" defaultRowHeight="14.4" x14ac:dyDescent="0.3"/>
  <cols>
    <col min="2" max="2" width="60" style="19" customWidth="1"/>
    <col min="3" max="3" width="2.77734375" customWidth="1"/>
    <col min="4" max="4" width="8" style="2" customWidth="1"/>
    <col min="5" max="5" width="8" style="14" customWidth="1"/>
    <col min="6" max="8" width="12" style="1" customWidth="1"/>
    <col min="9" max="9" width="13" style="1" customWidth="1"/>
  </cols>
  <sheetData>
    <row r="1" spans="2:9" x14ac:dyDescent="0.3">
      <c r="B1" s="15" t="s">
        <v>13</v>
      </c>
      <c r="D1" s="5" t="s">
        <v>15</v>
      </c>
      <c r="E1" s="13" t="s">
        <v>14</v>
      </c>
      <c r="F1" s="4" t="s">
        <v>16</v>
      </c>
      <c r="G1" s="4" t="s">
        <v>17</v>
      </c>
      <c r="H1" s="4" t="s">
        <v>18</v>
      </c>
      <c r="I1" s="4"/>
    </row>
    <row r="2" spans="2:9" x14ac:dyDescent="0.3">
      <c r="B2" s="15"/>
      <c r="D2" s="5"/>
      <c r="E2" s="13"/>
      <c r="F2" s="4"/>
      <c r="G2" s="4"/>
      <c r="H2" s="4"/>
      <c r="I2" s="4"/>
    </row>
    <row r="3" spans="2:9" ht="34.799999999999997" x14ac:dyDescent="0.3">
      <c r="B3" s="16" t="s">
        <v>0</v>
      </c>
      <c r="D3" s="3"/>
      <c r="E3" s="13"/>
      <c r="F3" s="4"/>
      <c r="G3" s="4"/>
      <c r="H3" s="4"/>
      <c r="I3" s="4"/>
    </row>
    <row r="4" spans="2:9" ht="15.6" x14ac:dyDescent="0.3">
      <c r="B4" s="17" t="s">
        <v>1</v>
      </c>
      <c r="D4" s="3"/>
      <c r="E4" s="13"/>
      <c r="F4" s="4"/>
      <c r="G4" s="4"/>
      <c r="H4" s="4"/>
      <c r="I4" s="4"/>
    </row>
    <row r="5" spans="2:9" x14ac:dyDescent="0.3">
      <c r="B5" s="18" t="s">
        <v>2</v>
      </c>
      <c r="D5" s="3"/>
      <c r="E5" s="13"/>
      <c r="F5" s="4"/>
      <c r="G5" s="4"/>
      <c r="H5" s="4"/>
      <c r="I5" s="4"/>
    </row>
    <row r="6" spans="2:9" x14ac:dyDescent="0.3">
      <c r="D6" s="3"/>
      <c r="E6" s="13"/>
      <c r="F6" s="4"/>
      <c r="G6" s="4"/>
      <c r="H6" s="4"/>
      <c r="I6" s="4"/>
    </row>
    <row r="7" spans="2:9" x14ac:dyDescent="0.3">
      <c r="B7" s="20" t="s">
        <v>3</v>
      </c>
      <c r="D7" s="3"/>
      <c r="E7" s="13"/>
      <c r="F7" s="4"/>
      <c r="G7" s="4"/>
      <c r="H7" s="4"/>
      <c r="I7" s="4"/>
    </row>
    <row r="8" spans="2:9" x14ac:dyDescent="0.3">
      <c r="B8" s="19" t="s">
        <v>4</v>
      </c>
      <c r="D8" s="3"/>
      <c r="E8" s="13"/>
      <c r="F8" s="4"/>
      <c r="G8" s="4"/>
      <c r="H8" s="4"/>
      <c r="I8" s="4"/>
    </row>
    <row r="9" spans="2:9" x14ac:dyDescent="0.3">
      <c r="B9" s="19" t="s">
        <v>5</v>
      </c>
      <c r="D9" s="3"/>
      <c r="E9" s="13"/>
      <c r="F9" s="4"/>
      <c r="G9" s="4"/>
      <c r="H9" s="4"/>
      <c r="I9" s="4"/>
    </row>
    <row r="10" spans="2:9" x14ac:dyDescent="0.3">
      <c r="B10" s="19" t="s">
        <v>6</v>
      </c>
      <c r="D10" s="3"/>
      <c r="E10" s="13"/>
      <c r="F10" s="4"/>
      <c r="G10" s="4"/>
      <c r="H10" s="4"/>
      <c r="I10" s="4"/>
    </row>
    <row r="11" spans="2:9" x14ac:dyDescent="0.3">
      <c r="B11" s="19" t="s">
        <v>7</v>
      </c>
      <c r="D11" s="3"/>
      <c r="E11" s="13"/>
      <c r="F11" s="4"/>
      <c r="G11" s="4"/>
      <c r="H11" s="4"/>
      <c r="I11" s="4"/>
    </row>
    <row r="12" spans="2:9" x14ac:dyDescent="0.3">
      <c r="B12" s="19" t="s">
        <v>8</v>
      </c>
      <c r="D12" s="3"/>
      <c r="E12" s="13"/>
      <c r="F12" s="4"/>
      <c r="G12" s="4"/>
      <c r="H12" s="4"/>
      <c r="I12" s="4"/>
    </row>
    <row r="13" spans="2:9" x14ac:dyDescent="0.3">
      <c r="B13" s="19" t="s">
        <v>9</v>
      </c>
      <c r="D13" s="3"/>
      <c r="E13" s="13"/>
      <c r="F13" s="4"/>
      <c r="G13" s="4"/>
      <c r="H13" s="4"/>
      <c r="I13" s="4"/>
    </row>
    <row r="14" spans="2:9" x14ac:dyDescent="0.3">
      <c r="B14" s="19" t="s">
        <v>10</v>
      </c>
      <c r="D14" s="3"/>
      <c r="E14" s="13"/>
      <c r="F14" s="4"/>
      <c r="G14" s="4"/>
      <c r="H14" s="4"/>
      <c r="I14" s="4"/>
    </row>
    <row r="15" spans="2:9" x14ac:dyDescent="0.3">
      <c r="B15" s="19" t="s">
        <v>11</v>
      </c>
      <c r="D15" s="3"/>
      <c r="E15" s="13"/>
      <c r="F15" s="4"/>
      <c r="G15" s="4"/>
      <c r="H15" s="4"/>
      <c r="I15" s="4"/>
    </row>
    <row r="16" spans="2:9" x14ac:dyDescent="0.3">
      <c r="B16" s="19" t="s">
        <v>12</v>
      </c>
      <c r="D16" s="3"/>
      <c r="E16" s="13"/>
      <c r="F16" s="4"/>
      <c r="G16" s="4"/>
      <c r="H16" s="4"/>
      <c r="I16" s="4"/>
    </row>
    <row r="17" spans="2:9" x14ac:dyDescent="0.3">
      <c r="D17" s="3"/>
      <c r="E17" s="13"/>
      <c r="F17" s="4"/>
      <c r="G17" s="4"/>
      <c r="H17" s="4"/>
      <c r="I17" s="4"/>
    </row>
    <row r="18" spans="2:9" x14ac:dyDescent="0.3">
      <c r="D18" s="3"/>
      <c r="E18" s="13"/>
      <c r="F18" s="4"/>
      <c r="G18" s="4"/>
      <c r="H18" s="4"/>
      <c r="I18" s="4"/>
    </row>
    <row r="19" spans="2:9" x14ac:dyDescent="0.3">
      <c r="B19" s="15" t="s">
        <v>19</v>
      </c>
      <c r="D19" s="3"/>
      <c r="E19" s="13"/>
      <c r="F19" s="4"/>
      <c r="G19" s="4"/>
      <c r="H19" s="4"/>
      <c r="I19" s="4"/>
    </row>
    <row r="20" spans="2:9" x14ac:dyDescent="0.3">
      <c r="D20" s="3"/>
      <c r="E20" s="13"/>
      <c r="F20" s="4"/>
      <c r="G20" s="4"/>
      <c r="H20" s="4"/>
      <c r="I20" s="4"/>
    </row>
    <row r="21" spans="2:9" x14ac:dyDescent="0.3">
      <c r="B21" s="21" t="s">
        <v>20</v>
      </c>
      <c r="D21" s="3"/>
      <c r="E21" s="13"/>
      <c r="F21" s="4"/>
      <c r="G21" s="4"/>
      <c r="H21" s="4"/>
      <c r="I21" s="4"/>
    </row>
    <row r="22" spans="2:9" x14ac:dyDescent="0.3">
      <c r="B22" s="21" t="s">
        <v>21</v>
      </c>
      <c r="D22" s="3" t="s">
        <v>22</v>
      </c>
      <c r="E22" s="13"/>
      <c r="F22" s="4">
        <v>142</v>
      </c>
      <c r="G22" s="4">
        <v>0.7</v>
      </c>
      <c r="H22" s="4">
        <v>0.85</v>
      </c>
      <c r="I22" s="4">
        <f>F22*G22*H22</f>
        <v>84.49</v>
      </c>
    </row>
    <row r="23" spans="2:9" x14ac:dyDescent="0.3">
      <c r="B23" s="21" t="s">
        <v>23</v>
      </c>
      <c r="D23" s="3" t="s">
        <v>22</v>
      </c>
      <c r="E23" s="13"/>
      <c r="F23" s="4">
        <v>32</v>
      </c>
      <c r="G23" s="4">
        <v>0.7</v>
      </c>
      <c r="H23" s="4">
        <v>0.85</v>
      </c>
      <c r="I23" s="4">
        <f t="shared" ref="I23:I24" si="0">F23*G23*H23</f>
        <v>19.04</v>
      </c>
    </row>
    <row r="24" spans="2:9" x14ac:dyDescent="0.3">
      <c r="B24" s="21" t="s">
        <v>24</v>
      </c>
      <c r="D24" s="3" t="s">
        <v>22</v>
      </c>
      <c r="E24" s="13"/>
      <c r="F24" s="4">
        <v>18</v>
      </c>
      <c r="G24" s="4">
        <v>0.7</v>
      </c>
      <c r="H24" s="4">
        <v>0.85</v>
      </c>
      <c r="I24" s="4">
        <f t="shared" si="0"/>
        <v>10.709999999999999</v>
      </c>
    </row>
    <row r="25" spans="2:9" s="9" customFormat="1" x14ac:dyDescent="0.3">
      <c r="B25" s="22" t="s">
        <v>25</v>
      </c>
      <c r="D25" s="10" t="s">
        <v>22</v>
      </c>
      <c r="E25" s="13"/>
      <c r="F25" s="4"/>
      <c r="G25" s="4"/>
      <c r="H25" s="4"/>
      <c r="I25" s="6">
        <f>SUM(I22:I24)</f>
        <v>114.24</v>
      </c>
    </row>
    <row r="26" spans="2:9" x14ac:dyDescent="0.3">
      <c r="B26" s="21" t="s">
        <v>26</v>
      </c>
      <c r="D26" s="3"/>
      <c r="E26" s="13"/>
      <c r="F26" s="4"/>
      <c r="G26" s="4"/>
      <c r="H26" s="4"/>
      <c r="I26" s="4"/>
    </row>
    <row r="27" spans="2:9" x14ac:dyDescent="0.3">
      <c r="B27" s="21"/>
      <c r="D27" s="3"/>
      <c r="E27" s="13"/>
      <c r="F27" s="4"/>
      <c r="G27" s="4"/>
      <c r="H27" s="4"/>
      <c r="I27" s="4"/>
    </row>
    <row r="28" spans="2:9" x14ac:dyDescent="0.3">
      <c r="B28" s="21" t="s">
        <v>27</v>
      </c>
      <c r="D28" s="3" t="s">
        <v>28</v>
      </c>
      <c r="E28" s="13">
        <v>10</v>
      </c>
      <c r="F28" s="4">
        <v>1.2</v>
      </c>
      <c r="G28" s="4">
        <v>1.2</v>
      </c>
      <c r="H28" s="4">
        <v>0.85</v>
      </c>
      <c r="I28" s="4">
        <f>E28*F28*G28*H28</f>
        <v>12.239999999999998</v>
      </c>
    </row>
    <row r="29" spans="2:9" x14ac:dyDescent="0.3">
      <c r="B29" s="21" t="s">
        <v>29</v>
      </c>
      <c r="D29" s="3" t="s">
        <v>28</v>
      </c>
      <c r="E29" s="13">
        <v>6</v>
      </c>
      <c r="F29" s="4">
        <v>1.5</v>
      </c>
      <c r="G29" s="4">
        <v>1.5</v>
      </c>
      <c r="H29" s="4">
        <v>0.85</v>
      </c>
      <c r="I29" s="4">
        <f>E29*F29*G29*H29</f>
        <v>11.475</v>
      </c>
    </row>
    <row r="30" spans="2:9" s="9" customFormat="1" x14ac:dyDescent="0.3">
      <c r="B30" s="22" t="s">
        <v>30</v>
      </c>
      <c r="D30" s="10" t="s">
        <v>22</v>
      </c>
      <c r="E30" s="13"/>
      <c r="F30" s="4"/>
      <c r="G30" s="4"/>
      <c r="H30" s="4"/>
      <c r="I30" s="6">
        <f>SUM(I28:I29)</f>
        <v>23.714999999999996</v>
      </c>
    </row>
    <row r="31" spans="2:9" x14ac:dyDescent="0.3">
      <c r="B31" s="21"/>
      <c r="D31" s="3"/>
      <c r="E31" s="13"/>
      <c r="F31" s="4"/>
      <c r="G31" s="4"/>
      <c r="H31" s="4"/>
      <c r="I31" s="4"/>
    </row>
    <row r="32" spans="2:9" s="9" customFormat="1" x14ac:dyDescent="0.3">
      <c r="B32" s="22" t="s">
        <v>31</v>
      </c>
      <c r="D32" s="10" t="s">
        <v>22</v>
      </c>
      <c r="E32" s="13"/>
      <c r="F32" s="4"/>
      <c r="G32" s="4"/>
      <c r="H32" s="4"/>
      <c r="I32" s="8">
        <f>I25+I30</f>
        <v>137.95499999999998</v>
      </c>
    </row>
    <row r="33" spans="2:9" x14ac:dyDescent="0.3">
      <c r="B33" s="21"/>
      <c r="D33" s="3"/>
      <c r="E33" s="13"/>
      <c r="F33" s="4"/>
      <c r="G33" s="4"/>
      <c r="H33" s="4"/>
      <c r="I33" s="4"/>
    </row>
    <row r="34" spans="2:9" x14ac:dyDescent="0.3">
      <c r="B34" s="21"/>
      <c r="D34" s="3"/>
      <c r="E34" s="13"/>
      <c r="F34" s="4"/>
      <c r="G34" s="4"/>
      <c r="H34" s="4"/>
      <c r="I34" s="4"/>
    </row>
    <row r="35" spans="2:9" x14ac:dyDescent="0.3">
      <c r="B35" s="22" t="s">
        <v>61</v>
      </c>
      <c r="D35" s="3"/>
      <c r="E35" s="13"/>
      <c r="F35" s="4"/>
      <c r="G35" s="4"/>
      <c r="H35" s="4"/>
      <c r="I35" s="4"/>
    </row>
    <row r="36" spans="2:9" x14ac:dyDescent="0.3">
      <c r="B36" s="21"/>
      <c r="D36" s="3"/>
      <c r="E36" s="13"/>
      <c r="F36" s="4"/>
      <c r="G36" s="4"/>
      <c r="H36" s="4"/>
      <c r="I36" s="4"/>
    </row>
    <row r="37" spans="2:9" x14ac:dyDescent="0.3">
      <c r="B37" s="21" t="s">
        <v>62</v>
      </c>
      <c r="D37" s="4"/>
      <c r="E37" s="13"/>
      <c r="F37" s="4"/>
      <c r="G37" s="4"/>
      <c r="H37" s="4"/>
      <c r="I37" s="4"/>
    </row>
    <row r="38" spans="2:9" x14ac:dyDescent="0.3">
      <c r="B38" s="21" t="s">
        <v>63</v>
      </c>
      <c r="D38" s="4" t="s">
        <v>46</v>
      </c>
      <c r="E38" s="13"/>
      <c r="F38" s="4">
        <v>142</v>
      </c>
      <c r="G38" s="4">
        <v>0.85</v>
      </c>
      <c r="H38" s="4">
        <v>2</v>
      </c>
      <c r="I38" s="4">
        <v>241.4</v>
      </c>
    </row>
    <row r="39" spans="2:9" ht="28.8" x14ac:dyDescent="0.3">
      <c r="B39" s="21" t="s">
        <v>64</v>
      </c>
      <c r="D39" s="4" t="s">
        <v>46</v>
      </c>
      <c r="E39" s="13"/>
      <c r="F39" s="4">
        <v>32</v>
      </c>
      <c r="G39" s="4">
        <v>0.85</v>
      </c>
      <c r="H39" s="4">
        <v>2</v>
      </c>
      <c r="I39" s="4">
        <v>54.4</v>
      </c>
    </row>
    <row r="40" spans="2:9" ht="28.8" x14ac:dyDescent="0.3">
      <c r="B40" s="21" t="s">
        <v>65</v>
      </c>
      <c r="D40" s="4" t="s">
        <v>46</v>
      </c>
      <c r="E40" s="13"/>
      <c r="F40" s="4">
        <v>18</v>
      </c>
      <c r="G40" s="4">
        <v>0.85</v>
      </c>
      <c r="H40" s="4">
        <v>2</v>
      </c>
      <c r="I40" s="4">
        <v>30.599999999999998</v>
      </c>
    </row>
    <row r="41" spans="2:9" x14ac:dyDescent="0.3">
      <c r="B41" s="22" t="s">
        <v>66</v>
      </c>
      <c r="D41" s="4" t="s">
        <v>46</v>
      </c>
      <c r="E41" s="13"/>
      <c r="F41" s="4"/>
      <c r="G41" s="4"/>
      <c r="H41" s="4"/>
      <c r="I41" s="6">
        <v>326.40000000000003</v>
      </c>
    </row>
    <row r="42" spans="2:9" x14ac:dyDescent="0.3">
      <c r="B42" s="21"/>
      <c r="D42" s="4"/>
      <c r="E42" s="13"/>
      <c r="F42" s="4"/>
      <c r="G42" s="4"/>
      <c r="H42" s="4"/>
      <c r="I42" s="4"/>
    </row>
    <row r="43" spans="2:9" x14ac:dyDescent="0.3">
      <c r="B43" s="21" t="s">
        <v>67</v>
      </c>
      <c r="D43" s="4"/>
      <c r="E43" s="13"/>
      <c r="F43" s="4"/>
      <c r="G43" s="4"/>
      <c r="H43" s="4"/>
      <c r="I43" s="4"/>
    </row>
    <row r="44" spans="2:9" x14ac:dyDescent="0.3">
      <c r="B44" s="21" t="s">
        <v>68</v>
      </c>
      <c r="D44" s="4" t="s">
        <v>28</v>
      </c>
      <c r="E44" s="13">
        <v>10</v>
      </c>
      <c r="F44" s="4">
        <v>4.8</v>
      </c>
      <c r="G44" s="4">
        <v>0.85</v>
      </c>
      <c r="H44" s="4"/>
      <c r="I44" s="4">
        <v>40.799999999999997</v>
      </c>
    </row>
    <row r="45" spans="2:9" x14ac:dyDescent="0.3">
      <c r="B45" s="21" t="s">
        <v>69</v>
      </c>
      <c r="D45" s="4" t="s">
        <v>28</v>
      </c>
      <c r="E45" s="13">
        <v>6</v>
      </c>
      <c r="F45" s="4">
        <v>6</v>
      </c>
      <c r="G45" s="4">
        <v>0.85</v>
      </c>
      <c r="H45" s="4"/>
      <c r="I45" s="4">
        <v>30.599999999999998</v>
      </c>
    </row>
    <row r="46" spans="2:9" x14ac:dyDescent="0.3">
      <c r="B46" s="22" t="s">
        <v>70</v>
      </c>
      <c r="D46" s="4" t="s">
        <v>46</v>
      </c>
      <c r="E46" s="13"/>
      <c r="F46" s="4"/>
      <c r="G46" s="4"/>
      <c r="H46" s="4"/>
      <c r="I46" s="6">
        <v>71.399999999999991</v>
      </c>
    </row>
    <row r="47" spans="2:9" x14ac:dyDescent="0.3">
      <c r="B47" s="21"/>
      <c r="D47" s="4"/>
      <c r="E47" s="13"/>
      <c r="F47" s="4"/>
      <c r="G47" s="4"/>
      <c r="H47" s="4"/>
      <c r="I47" s="4"/>
    </row>
    <row r="48" spans="2:9" ht="28.2" x14ac:dyDescent="0.3">
      <c r="B48" s="22" t="s">
        <v>71</v>
      </c>
      <c r="D48" s="4" t="s">
        <v>46</v>
      </c>
      <c r="E48" s="13"/>
      <c r="F48" s="4"/>
      <c r="G48" s="4"/>
      <c r="H48" s="4"/>
      <c r="I48" s="8">
        <v>397.8</v>
      </c>
    </row>
    <row r="49" spans="2:9" x14ac:dyDescent="0.3">
      <c r="B49" s="21"/>
      <c r="D49" s="3"/>
      <c r="E49" s="13"/>
      <c r="F49" s="4"/>
      <c r="G49" s="4"/>
      <c r="H49" s="4"/>
      <c r="I49" s="4"/>
    </row>
    <row r="50" spans="2:9" x14ac:dyDescent="0.3">
      <c r="B50" s="21"/>
      <c r="D50" s="3"/>
      <c r="E50" s="13"/>
      <c r="F50" s="4"/>
      <c r="G50" s="4"/>
      <c r="H50" s="4"/>
      <c r="I50" s="4"/>
    </row>
    <row r="51" spans="2:9" x14ac:dyDescent="0.3">
      <c r="B51" s="22" t="s">
        <v>60</v>
      </c>
      <c r="D51" s="12"/>
      <c r="E51" s="4"/>
      <c r="F51" s="4"/>
      <c r="G51" s="4"/>
      <c r="H51" s="4"/>
      <c r="I51" s="4"/>
    </row>
    <row r="52" spans="2:9" x14ac:dyDescent="0.3">
      <c r="B52" s="21"/>
      <c r="D52" s="12"/>
      <c r="E52" s="4"/>
      <c r="F52" s="4"/>
      <c r="G52" s="4"/>
      <c r="H52" s="4"/>
      <c r="I52" s="4"/>
    </row>
    <row r="53" spans="2:9" x14ac:dyDescent="0.3">
      <c r="B53" s="21" t="s">
        <v>32</v>
      </c>
      <c r="D53" s="4" t="s">
        <v>22</v>
      </c>
      <c r="E53" s="4"/>
      <c r="F53" s="4"/>
      <c r="G53" s="4"/>
      <c r="H53" s="4"/>
      <c r="I53" s="4">
        <f>[1]Foundations!G25*0.5</f>
        <v>68.977499999999992</v>
      </c>
    </row>
    <row r="54" spans="2:9" x14ac:dyDescent="0.3">
      <c r="B54" s="21"/>
      <c r="D54" s="3"/>
      <c r="E54" s="13"/>
      <c r="F54" s="4"/>
      <c r="G54" s="4"/>
      <c r="H54" s="4"/>
      <c r="I54" s="4"/>
    </row>
    <row r="55" spans="2:9" x14ac:dyDescent="0.3">
      <c r="B55" s="21"/>
      <c r="D55" s="3"/>
      <c r="E55" s="13"/>
      <c r="F55" s="4"/>
      <c r="G55" s="4"/>
      <c r="H55" s="4"/>
      <c r="I55" s="4"/>
    </row>
    <row r="56" spans="2:9" x14ac:dyDescent="0.3">
      <c r="B56" s="22" t="s">
        <v>57</v>
      </c>
      <c r="D56" s="3"/>
      <c r="E56" s="13"/>
      <c r="F56" s="4"/>
      <c r="G56" s="4"/>
      <c r="H56" s="4"/>
      <c r="I56" s="4"/>
    </row>
    <row r="57" spans="2:9" x14ac:dyDescent="0.3">
      <c r="B57" s="21"/>
      <c r="D57" s="3"/>
      <c r="E57" s="13"/>
      <c r="F57" s="4"/>
      <c r="G57" s="4"/>
      <c r="H57" s="4"/>
      <c r="I57" s="4"/>
    </row>
    <row r="58" spans="2:9" ht="28.8" x14ac:dyDescent="0.3">
      <c r="B58" s="21" t="s">
        <v>58</v>
      </c>
      <c r="D58" s="3" t="s">
        <v>22</v>
      </c>
      <c r="E58" s="13"/>
      <c r="F58" s="4"/>
      <c r="G58" s="4"/>
      <c r="H58" s="4"/>
      <c r="I58" s="4">
        <f>I25*0.5</f>
        <v>57.12</v>
      </c>
    </row>
    <row r="59" spans="2:9" x14ac:dyDescent="0.3">
      <c r="B59" s="21"/>
      <c r="D59" s="3"/>
      <c r="E59" s="13"/>
      <c r="F59" s="4"/>
      <c r="G59" s="4"/>
      <c r="H59" s="4"/>
      <c r="I59" s="4"/>
    </row>
    <row r="60" spans="2:9" x14ac:dyDescent="0.3">
      <c r="B60" s="21" t="s">
        <v>59</v>
      </c>
      <c r="D60" s="3" t="s">
        <v>22</v>
      </c>
      <c r="E60" s="13"/>
      <c r="F60" s="4"/>
      <c r="G60" s="4"/>
      <c r="H60" s="4"/>
      <c r="I60" s="4">
        <f>I30*0.5</f>
        <v>11.857499999999998</v>
      </c>
    </row>
    <row r="61" spans="2:9" x14ac:dyDescent="0.3">
      <c r="B61" s="21"/>
      <c r="D61" s="3"/>
      <c r="E61" s="13"/>
      <c r="F61" s="4"/>
      <c r="G61" s="4"/>
      <c r="H61" s="4"/>
      <c r="I61" s="4"/>
    </row>
    <row r="62" spans="2:9" x14ac:dyDescent="0.3">
      <c r="B62" s="21"/>
      <c r="D62" s="3"/>
      <c r="E62" s="13"/>
      <c r="F62" s="4"/>
      <c r="G62" s="4"/>
      <c r="H62" s="4"/>
      <c r="I62" s="4"/>
    </row>
    <row r="63" spans="2:9" x14ac:dyDescent="0.3">
      <c r="B63" s="22" t="s">
        <v>72</v>
      </c>
      <c r="D63" s="3"/>
      <c r="E63" s="13"/>
      <c r="F63" s="4"/>
      <c r="G63" s="4"/>
      <c r="H63" s="4"/>
      <c r="I63" s="4"/>
    </row>
    <row r="64" spans="2:9" x14ac:dyDescent="0.3">
      <c r="B64" s="21"/>
      <c r="D64" s="3"/>
      <c r="E64" s="13"/>
      <c r="F64" s="4"/>
      <c r="G64" s="4"/>
      <c r="H64" s="4"/>
      <c r="I64" s="4"/>
    </row>
    <row r="65" spans="2:9" x14ac:dyDescent="0.3">
      <c r="B65" s="21" t="s">
        <v>33</v>
      </c>
      <c r="D65" s="3"/>
      <c r="E65" s="13"/>
      <c r="F65" s="4"/>
      <c r="G65" s="4"/>
      <c r="H65" s="4"/>
      <c r="I65" s="4"/>
    </row>
    <row r="66" spans="2:9" x14ac:dyDescent="0.3">
      <c r="B66" s="21" t="s">
        <v>34</v>
      </c>
      <c r="D66" s="3" t="s">
        <v>22</v>
      </c>
      <c r="E66" s="13"/>
      <c r="F66" s="13">
        <v>142</v>
      </c>
      <c r="G66" s="4">
        <v>0.7</v>
      </c>
      <c r="H66" s="4">
        <v>0.3</v>
      </c>
      <c r="I66" s="4">
        <v>29.819999999999997</v>
      </c>
    </row>
    <row r="67" spans="2:9" x14ac:dyDescent="0.3">
      <c r="B67" s="21" t="s">
        <v>35</v>
      </c>
      <c r="D67" s="3" t="s">
        <v>22</v>
      </c>
      <c r="E67" s="13"/>
      <c r="F67" s="13">
        <v>32</v>
      </c>
      <c r="G67" s="4">
        <v>0.7</v>
      </c>
      <c r="H67" s="4">
        <v>0.3</v>
      </c>
      <c r="I67" s="4">
        <v>6.72</v>
      </c>
    </row>
    <row r="68" spans="2:9" x14ac:dyDescent="0.3">
      <c r="B68" s="21" t="s">
        <v>36</v>
      </c>
      <c r="D68" s="3" t="s">
        <v>22</v>
      </c>
      <c r="E68" s="13"/>
      <c r="F68" s="13">
        <v>18</v>
      </c>
      <c r="G68" s="4">
        <v>0.7</v>
      </c>
      <c r="H68" s="4">
        <v>0.3</v>
      </c>
      <c r="I68" s="4">
        <v>3.78</v>
      </c>
    </row>
    <row r="69" spans="2:9" s="9" customFormat="1" x14ac:dyDescent="0.3">
      <c r="B69" s="22" t="s">
        <v>37</v>
      </c>
      <c r="D69" s="10" t="s">
        <v>22</v>
      </c>
      <c r="E69" s="13"/>
      <c r="F69" s="13"/>
      <c r="G69" s="4"/>
      <c r="H69" s="4"/>
      <c r="I69" s="6">
        <v>40.32</v>
      </c>
    </row>
    <row r="70" spans="2:9" x14ac:dyDescent="0.3">
      <c r="B70" s="21"/>
      <c r="D70" s="3"/>
      <c r="E70" s="13"/>
      <c r="F70" s="4"/>
      <c r="G70" s="4"/>
      <c r="H70" s="4"/>
      <c r="I70" s="4"/>
    </row>
    <row r="71" spans="2:9" x14ac:dyDescent="0.3">
      <c r="B71" s="21" t="s">
        <v>38</v>
      </c>
      <c r="D71" s="3"/>
      <c r="E71" s="13"/>
      <c r="F71" s="4"/>
      <c r="G71" s="4"/>
      <c r="H71" s="4"/>
      <c r="I71" s="4"/>
    </row>
    <row r="72" spans="2:9" x14ac:dyDescent="0.3">
      <c r="B72" s="21" t="s">
        <v>39</v>
      </c>
      <c r="D72" s="3" t="s">
        <v>28</v>
      </c>
      <c r="E72" s="13">
        <v>10</v>
      </c>
      <c r="F72" s="4">
        <v>1.2</v>
      </c>
      <c r="G72" s="4">
        <v>1.2</v>
      </c>
      <c r="H72" s="4">
        <v>0.3</v>
      </c>
      <c r="I72" s="4">
        <f>E72*F72*G72*H72</f>
        <v>4.3199999999999994</v>
      </c>
    </row>
    <row r="73" spans="2:9" x14ac:dyDescent="0.3">
      <c r="B73" s="21" t="s">
        <v>40</v>
      </c>
      <c r="D73" s="3" t="s">
        <v>28</v>
      </c>
      <c r="E73" s="13">
        <v>6</v>
      </c>
      <c r="F73" s="4">
        <v>1.5</v>
      </c>
      <c r="G73" s="4">
        <v>1.5</v>
      </c>
      <c r="H73" s="4">
        <v>0.3</v>
      </c>
      <c r="I73" s="4">
        <f>E73*F73*G73*H73</f>
        <v>4.05</v>
      </c>
    </row>
    <row r="74" spans="2:9" s="9" customFormat="1" x14ac:dyDescent="0.3">
      <c r="B74" s="22" t="s">
        <v>41</v>
      </c>
      <c r="D74" s="10" t="s">
        <v>22</v>
      </c>
      <c r="E74" s="13"/>
      <c r="F74" s="4"/>
      <c r="G74" s="4"/>
      <c r="H74" s="4"/>
      <c r="I74" s="6">
        <f>SUM(I72:I73)</f>
        <v>8.3699999999999992</v>
      </c>
    </row>
    <row r="75" spans="2:9" x14ac:dyDescent="0.3">
      <c r="B75" s="21"/>
      <c r="D75" s="3"/>
      <c r="E75" s="13"/>
      <c r="F75" s="4"/>
      <c r="G75" s="4"/>
      <c r="H75" s="4"/>
      <c r="I75" s="4"/>
    </row>
    <row r="76" spans="2:9" x14ac:dyDescent="0.3">
      <c r="B76" s="22" t="s">
        <v>42</v>
      </c>
      <c r="D76" s="3" t="s">
        <v>22</v>
      </c>
      <c r="E76" s="13"/>
      <c r="F76" s="4"/>
      <c r="G76" s="4"/>
      <c r="H76" s="4"/>
      <c r="I76" s="8">
        <f>I69+I74</f>
        <v>48.69</v>
      </c>
    </row>
    <row r="77" spans="2:9" x14ac:dyDescent="0.3">
      <c r="B77" s="22"/>
      <c r="D77" s="3"/>
      <c r="E77" s="13"/>
      <c r="F77" s="4"/>
      <c r="G77" s="4"/>
      <c r="H77" s="4"/>
      <c r="I77" s="11"/>
    </row>
    <row r="78" spans="2:9" x14ac:dyDescent="0.3">
      <c r="D78" s="3"/>
      <c r="E78" s="13"/>
      <c r="F78" s="4"/>
      <c r="G78" s="4"/>
      <c r="H78" s="4"/>
      <c r="I78" s="4"/>
    </row>
    <row r="79" spans="2:9" x14ac:dyDescent="0.3">
      <c r="B79" s="15" t="s">
        <v>43</v>
      </c>
      <c r="D79" s="3"/>
      <c r="E79" s="13"/>
      <c r="F79" s="4"/>
      <c r="G79" s="4"/>
      <c r="H79" s="4"/>
      <c r="I79" s="4"/>
    </row>
    <row r="80" spans="2:9" x14ac:dyDescent="0.3">
      <c r="D80" s="3"/>
      <c r="E80" s="13"/>
      <c r="F80" s="4"/>
      <c r="G80" s="4"/>
      <c r="H80" s="4"/>
      <c r="I80" s="4"/>
    </row>
    <row r="81" spans="2:9" x14ac:dyDescent="0.3">
      <c r="B81" s="19" t="s">
        <v>44</v>
      </c>
      <c r="D81" s="3"/>
      <c r="E81" s="13"/>
      <c r="F81" s="4"/>
      <c r="G81" s="4"/>
      <c r="H81" s="4"/>
      <c r="I81" s="4"/>
    </row>
    <row r="82" spans="2:9" x14ac:dyDescent="0.3">
      <c r="B82" s="19" t="s">
        <v>45</v>
      </c>
      <c r="D82" s="3" t="s">
        <v>46</v>
      </c>
      <c r="E82" s="13"/>
      <c r="F82" s="7">
        <v>95</v>
      </c>
      <c r="G82" s="7">
        <v>0.55000000000000004</v>
      </c>
      <c r="H82" s="7"/>
      <c r="I82" s="7">
        <f>F82*G82</f>
        <v>52.250000000000007</v>
      </c>
    </row>
    <row r="83" spans="2:9" s="9" customFormat="1" x14ac:dyDescent="0.3">
      <c r="B83" s="15" t="s">
        <v>47</v>
      </c>
      <c r="D83" s="10" t="s">
        <v>46</v>
      </c>
      <c r="E83" s="13"/>
      <c r="F83" s="4"/>
      <c r="G83" s="4"/>
      <c r="H83" s="4"/>
      <c r="I83" s="6">
        <f>I82</f>
        <v>52.250000000000007</v>
      </c>
    </row>
    <row r="84" spans="2:9" x14ac:dyDescent="0.3">
      <c r="D84" s="3"/>
      <c r="E84" s="13"/>
      <c r="F84" s="4"/>
      <c r="G84" s="4"/>
      <c r="H84" s="4"/>
      <c r="I84" s="4"/>
    </row>
    <row r="85" spans="2:9" ht="28.8" x14ac:dyDescent="0.3">
      <c r="B85" s="19" t="s">
        <v>48</v>
      </c>
      <c r="D85" s="3"/>
      <c r="E85" s="13"/>
      <c r="F85" s="4"/>
      <c r="G85" s="4"/>
      <c r="H85" s="4"/>
      <c r="I85" s="4"/>
    </row>
    <row r="86" spans="2:9" x14ac:dyDescent="0.3">
      <c r="B86" s="19" t="s">
        <v>49</v>
      </c>
      <c r="D86" s="3" t="s">
        <v>46</v>
      </c>
      <c r="E86" s="13"/>
      <c r="F86" s="7">
        <v>42</v>
      </c>
      <c r="G86" s="7">
        <v>0.55000000000000004</v>
      </c>
      <c r="H86" s="7"/>
      <c r="I86" s="7">
        <f t="shared" ref="I86:I87" si="1">F86*G86</f>
        <v>23.1</v>
      </c>
    </row>
    <row r="87" spans="2:9" x14ac:dyDescent="0.3">
      <c r="B87" s="19" t="s">
        <v>50</v>
      </c>
      <c r="D87" s="3" t="s">
        <v>46</v>
      </c>
      <c r="E87" s="13"/>
      <c r="F87" s="7">
        <v>42</v>
      </c>
      <c r="G87" s="7">
        <v>0.55000000000000004</v>
      </c>
      <c r="H87" s="7"/>
      <c r="I87" s="7">
        <f t="shared" si="1"/>
        <v>23.1</v>
      </c>
    </row>
    <row r="88" spans="2:9" s="9" customFormat="1" x14ac:dyDescent="0.3">
      <c r="B88" s="15" t="s">
        <v>51</v>
      </c>
      <c r="D88" s="10" t="s">
        <v>46</v>
      </c>
      <c r="E88" s="13"/>
      <c r="F88" s="4"/>
      <c r="G88" s="4"/>
      <c r="H88" s="4"/>
      <c r="I88" s="6">
        <f>SUM(I86:I87)</f>
        <v>46.2</v>
      </c>
    </row>
    <row r="89" spans="2:9" x14ac:dyDescent="0.3">
      <c r="D89" s="3"/>
      <c r="E89" s="13"/>
      <c r="F89" s="4"/>
      <c r="G89" s="4"/>
      <c r="H89" s="4"/>
      <c r="I89" s="4"/>
    </row>
    <row r="90" spans="2:9" ht="28.8" x14ac:dyDescent="0.3">
      <c r="B90" s="19" t="s">
        <v>52</v>
      </c>
      <c r="D90" s="3"/>
      <c r="E90" s="13"/>
      <c r="F90" s="4"/>
      <c r="G90" s="4"/>
      <c r="H90" s="4"/>
      <c r="I90" s="4"/>
    </row>
    <row r="91" spans="2:9" x14ac:dyDescent="0.3">
      <c r="B91" s="19" t="s">
        <v>49</v>
      </c>
      <c r="D91" s="3" t="s">
        <v>46</v>
      </c>
      <c r="E91" s="13"/>
      <c r="F91" s="7">
        <v>55</v>
      </c>
      <c r="G91" s="7">
        <v>0.55000000000000004</v>
      </c>
      <c r="H91" s="7"/>
      <c r="I91" s="7">
        <f t="shared" ref="I91:I92" si="2">F91*G91</f>
        <v>30.250000000000004</v>
      </c>
    </row>
    <row r="92" spans="2:9" x14ac:dyDescent="0.3">
      <c r="B92" s="19" t="s">
        <v>50</v>
      </c>
      <c r="D92" s="3" t="s">
        <v>46</v>
      </c>
      <c r="E92" s="13"/>
      <c r="F92" s="7">
        <v>55</v>
      </c>
      <c r="G92" s="7">
        <v>0.55000000000000004</v>
      </c>
      <c r="H92" s="7"/>
      <c r="I92" s="7">
        <f t="shared" si="2"/>
        <v>30.250000000000004</v>
      </c>
    </row>
    <row r="93" spans="2:9" s="9" customFormat="1" x14ac:dyDescent="0.3">
      <c r="B93" s="15" t="s">
        <v>53</v>
      </c>
      <c r="D93" s="10" t="s">
        <v>46</v>
      </c>
      <c r="E93" s="13"/>
      <c r="F93" s="4"/>
      <c r="G93" s="4"/>
      <c r="H93" s="4"/>
      <c r="I93" s="6">
        <f>SUM(I91:I92)</f>
        <v>60.500000000000007</v>
      </c>
    </row>
    <row r="94" spans="2:9" x14ac:dyDescent="0.3">
      <c r="D94" s="3"/>
      <c r="E94" s="13"/>
      <c r="F94" s="4"/>
      <c r="G94" s="4"/>
      <c r="H94" s="4"/>
      <c r="I94" s="4"/>
    </row>
    <row r="95" spans="2:9" x14ac:dyDescent="0.3">
      <c r="D95" s="3"/>
      <c r="E95" s="13"/>
      <c r="F95" s="4"/>
      <c r="G95" s="4"/>
      <c r="H95" s="4"/>
      <c r="I95" s="4"/>
    </row>
    <row r="96" spans="2:9" x14ac:dyDescent="0.3">
      <c r="B96" s="22" t="s">
        <v>54</v>
      </c>
      <c r="D96" s="3"/>
      <c r="E96" s="13"/>
      <c r="F96" s="4"/>
      <c r="G96" s="4"/>
      <c r="H96" s="4"/>
      <c r="I96" s="4"/>
    </row>
    <row r="97" spans="2:9" x14ac:dyDescent="0.3">
      <c r="B97" s="21"/>
      <c r="D97" s="3"/>
      <c r="E97" s="13"/>
      <c r="F97" s="4"/>
      <c r="G97" s="4"/>
      <c r="H97" s="4"/>
      <c r="I97" s="4"/>
    </row>
    <row r="98" spans="2:9" ht="28.8" x14ac:dyDescent="0.3">
      <c r="B98" s="21" t="s">
        <v>55</v>
      </c>
      <c r="D98" s="3" t="s">
        <v>22</v>
      </c>
      <c r="E98" s="13"/>
      <c r="F98" s="4">
        <v>42</v>
      </c>
      <c r="G98" s="4">
        <v>0.06</v>
      </c>
      <c r="H98" s="4">
        <v>0.55000000000000004</v>
      </c>
      <c r="I98" s="4">
        <f t="shared" ref="I98:I100" si="3">F98*G98*H98</f>
        <v>1.3860000000000001</v>
      </c>
    </row>
    <row r="99" spans="2:9" x14ac:dyDescent="0.3">
      <c r="B99" s="21"/>
      <c r="D99" s="3"/>
      <c r="E99" s="13"/>
      <c r="F99" s="4"/>
      <c r="G99" s="4"/>
      <c r="H99" s="4"/>
      <c r="I99" s="4"/>
    </row>
    <row r="100" spans="2:9" ht="28.8" x14ac:dyDescent="0.3">
      <c r="B100" s="21" t="s">
        <v>56</v>
      </c>
      <c r="D100" s="3" t="s">
        <v>22</v>
      </c>
      <c r="E100" s="13"/>
      <c r="F100" s="4">
        <v>55</v>
      </c>
      <c r="G100" s="4">
        <v>0.11</v>
      </c>
      <c r="H100" s="4">
        <v>0.55000000000000004</v>
      </c>
      <c r="I100" s="4">
        <f t="shared" si="3"/>
        <v>3.3275000000000001</v>
      </c>
    </row>
    <row r="101" spans="2:9" x14ac:dyDescent="0.3">
      <c r="B101" s="21"/>
      <c r="D101" s="3"/>
      <c r="E101" s="13"/>
      <c r="F101" s="4"/>
      <c r="G101" s="4"/>
      <c r="H101" s="4"/>
      <c r="I101" s="4"/>
    </row>
    <row r="102" spans="2:9" x14ac:dyDescent="0.3">
      <c r="D102" s="3"/>
      <c r="E102" s="13"/>
      <c r="F102" s="4"/>
      <c r="G102" s="4"/>
      <c r="H102" s="4"/>
      <c r="I102" s="4"/>
    </row>
    <row r="103" spans="2:9" x14ac:dyDescent="0.3">
      <c r="D103" s="3"/>
      <c r="E103" s="13"/>
      <c r="F103" s="4"/>
      <c r="G103" s="4"/>
      <c r="H103" s="4"/>
      <c r="I103" s="4"/>
    </row>
    <row r="104" spans="2:9" x14ac:dyDescent="0.3">
      <c r="D104" s="3"/>
      <c r="E104" s="13"/>
      <c r="F104" s="4"/>
      <c r="G104" s="4"/>
      <c r="H104" s="4"/>
      <c r="I104" s="4"/>
    </row>
    <row r="105" spans="2:9" x14ac:dyDescent="0.3">
      <c r="D105" s="3"/>
      <c r="E105" s="13"/>
      <c r="F105" s="4"/>
      <c r="G105" s="4"/>
      <c r="H105" s="4"/>
      <c r="I105" s="4"/>
    </row>
    <row r="106" spans="2:9" x14ac:dyDescent="0.3">
      <c r="D106" s="3"/>
      <c r="E106" s="13"/>
      <c r="F106" s="4"/>
      <c r="G106" s="4"/>
      <c r="H106" s="4"/>
      <c r="I106" s="4"/>
    </row>
    <row r="107" spans="2:9" x14ac:dyDescent="0.3">
      <c r="D107" s="3"/>
      <c r="E107" s="13"/>
      <c r="F107" s="4"/>
      <c r="G107" s="4"/>
      <c r="H107" s="4"/>
      <c r="I107" s="4"/>
    </row>
    <row r="108" spans="2:9" x14ac:dyDescent="0.3">
      <c r="D108" s="3"/>
      <c r="E108" s="13"/>
      <c r="F108" s="4"/>
      <c r="G108" s="4"/>
      <c r="H108" s="4"/>
      <c r="I108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dcterms:created xsi:type="dcterms:W3CDTF">2026-01-02T11:43:27Z</dcterms:created>
  <dcterms:modified xsi:type="dcterms:W3CDTF">2026-01-02T21:37:19Z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2026-01-02T11:38:03Z</dcterms:created>
  <dc:creator>openpyxl</dc:creator>
  <dc:description/>
  <dc:language>en-US</dc:language>
  <cp:lastModifiedBy/>
  <dcterms:modified xsi:type="dcterms:W3CDTF">2026-01-02T11:38:03Z</dcterms:modified>
  <cp:revision>0</cp:revision>
  <dc:subject/>
  <dc:title/>
</cp:coreProperties>
</file>