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hrafb\NC\CADT\CAdT\Projects Active\P8080 - Fort Hare University Finance offices (SVA)\M02\Specification\"/>
    </mc:Choice>
  </mc:AlternateContent>
  <xr:revisionPtr revIDLastSave="0" documentId="13_ncr:1_{4790A9A5-CCEA-42BE-B990-ED3904A98A4A}" xr6:coauthVersionLast="47" xr6:coauthVersionMax="47" xr10:uidLastSave="{00000000-0000-0000-0000-000000000000}"/>
  <bookViews>
    <workbookView xWindow="-120" yWindow="-120" windowWidth="29040" windowHeight="15720" tabRatio="721" activeTab="1" xr2:uid="{F52CB30C-D91C-4B41-9735-D3D055973376}"/>
  </bookViews>
  <sheets>
    <sheet name="01 P&amp;G" sheetId="7" r:id="rId1"/>
    <sheet name="02 Equip &amp; Material" sheetId="2" r:id="rId2"/>
    <sheet name="Summary" sheetId="1" r:id="rId3"/>
  </sheets>
  <definedNames>
    <definedName name="hgf" localSheetId="1">#REF!</definedName>
    <definedName name="hgf">#REF!</definedName>
    <definedName name="koos">#REF!</definedName>
    <definedName name="Print" localSheetId="1">#REF!</definedName>
    <definedName name="Print">#REF!</definedName>
    <definedName name="_xlnm.Print_Area" localSheetId="0">'01 P&amp;G'!$A$1:$F$34</definedName>
    <definedName name="_xlnm.Print_Area" localSheetId="1">'02 Equip &amp; Material'!$A$1:$F$257</definedName>
    <definedName name="Print_Area_MI" localSheetId="1">#REF!</definedName>
    <definedName name="Print_Area_MI">#REF!</definedName>
    <definedName name="_xlnm.Print_Titles" localSheetId="1">'02 Equip &amp; Material'!$3:$3</definedName>
    <definedName name="Schedule2">'02 Equip &amp; Material'!$F$256</definedName>
    <definedName name="Summary_SubTotal">Summary!$F$9</definedName>
    <definedName name="Total_Schedule1">'01 P&amp;G'!$F$33</definedName>
    <definedName name="Total_Schedule2">'02 Equip &amp; Material'!$F$256</definedName>
    <definedName name="Total_Schedule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7" i="2" l="1"/>
  <c r="A197" i="2"/>
  <c r="F195" i="2"/>
  <c r="A195" i="2"/>
  <c r="F193" i="2"/>
  <c r="A193" i="2"/>
  <c r="F191" i="2"/>
  <c r="A191" i="2"/>
  <c r="F189" i="2"/>
  <c r="A189" i="2"/>
  <c r="F187" i="2"/>
  <c r="A187" i="2"/>
  <c r="F183" i="2"/>
  <c r="A183" i="2"/>
  <c r="F181" i="2"/>
  <c r="A181" i="2"/>
  <c r="F179" i="2"/>
  <c r="A179" i="2"/>
  <c r="A175" i="2"/>
  <c r="A173" i="2"/>
  <c r="A163" i="2"/>
  <c r="A161" i="2"/>
  <c r="A159" i="2"/>
  <c r="A157" i="2"/>
  <c r="A155" i="2"/>
  <c r="A153" i="2"/>
  <c r="A171" i="2"/>
  <c r="F175" i="2"/>
  <c r="F173" i="2"/>
  <c r="F171" i="2"/>
  <c r="F5" i="1"/>
  <c r="F163" i="2"/>
  <c r="F161" i="2"/>
  <c r="F159" i="2"/>
  <c r="F157" i="2"/>
  <c r="F155" i="2"/>
  <c r="F153" i="2"/>
  <c r="A217" i="2"/>
  <c r="A215" i="2"/>
  <c r="A213" i="2"/>
  <c r="A209" i="2"/>
  <c r="A138" i="2"/>
  <c r="A132" i="2"/>
  <c r="A130" i="2"/>
  <c r="A128" i="2"/>
  <c r="A122" i="2"/>
  <c r="A120" i="2"/>
  <c r="A114" i="2"/>
  <c r="A112" i="2"/>
  <c r="A110" i="2"/>
  <c r="A108" i="2"/>
  <c r="F99" i="2"/>
  <c r="A99" i="2"/>
  <c r="F97" i="2"/>
  <c r="A97" i="2"/>
  <c r="F47" i="2"/>
  <c r="A47" i="2"/>
  <c r="F138" i="2"/>
  <c r="A75" i="2"/>
  <c r="F75" i="2"/>
  <c r="F73" i="2"/>
  <c r="A73" i="2"/>
  <c r="F71" i="2"/>
  <c r="A71" i="2"/>
  <c r="F69" i="2"/>
  <c r="A69" i="2"/>
  <c r="F67" i="2"/>
  <c r="A67" i="2"/>
  <c r="F65" i="2"/>
  <c r="A65" i="2"/>
  <c r="F63" i="2"/>
  <c r="A63" i="2"/>
  <c r="F61" i="2"/>
  <c r="A61" i="2"/>
  <c r="F95" i="2"/>
  <c r="A95" i="2"/>
  <c r="A93" i="2"/>
  <c r="A91" i="2"/>
  <c r="A89" i="2"/>
  <c r="A87" i="2"/>
  <c r="A85" i="2"/>
  <c r="A83" i="2"/>
  <c r="A81" i="2"/>
  <c r="F93" i="2"/>
  <c r="F91" i="2"/>
  <c r="F89" i="2"/>
  <c r="F87" i="2"/>
  <c r="F85" i="2"/>
  <c r="F83" i="2"/>
  <c r="F81" i="2"/>
  <c r="F77" i="2"/>
  <c r="A77" i="2"/>
  <c r="F57" i="2"/>
  <c r="A57" i="2"/>
  <c r="F55" i="2"/>
  <c r="A55" i="2"/>
  <c r="A43" i="2"/>
  <c r="F43" i="2"/>
  <c r="A45" i="2"/>
  <c r="F45" i="2"/>
  <c r="A53" i="2"/>
  <c r="F53" i="2"/>
  <c r="F41" i="2"/>
  <c r="A41" i="2"/>
  <c r="A31" i="2"/>
  <c r="A29" i="2"/>
  <c r="A27" i="2"/>
  <c r="A25" i="2"/>
  <c r="A23" i="2"/>
  <c r="F31" i="2"/>
  <c r="F29" i="2"/>
  <c r="F27" i="2"/>
  <c r="F25" i="2"/>
  <c r="F23" i="2"/>
  <c r="F19" i="2"/>
  <c r="F17" i="2"/>
  <c r="F15" i="2"/>
  <c r="F13" i="2"/>
  <c r="A19" i="2"/>
  <c r="A17" i="2"/>
  <c r="A15" i="2"/>
  <c r="A13" i="2"/>
  <c r="F11" i="2"/>
  <c r="A11" i="2"/>
  <c r="F50" i="2" l="1"/>
  <c r="F51" i="2" l="1"/>
  <c r="F101" i="2" l="1"/>
  <c r="F102" i="2" s="1"/>
  <c r="A29" i="7" l="1"/>
  <c r="A27" i="7"/>
  <c r="A25" i="7"/>
  <c r="A23" i="7"/>
  <c r="A21" i="7"/>
  <c r="A19" i="7"/>
  <c r="A17" i="7"/>
  <c r="A15" i="7"/>
  <c r="A13" i="7"/>
  <c r="A11" i="7"/>
  <c r="A9" i="7"/>
  <c r="A7" i="7"/>
  <c r="F114" i="2" l="1"/>
  <c r="F112" i="2"/>
  <c r="F110" i="2"/>
  <c r="F108" i="2"/>
  <c r="F122" i="2"/>
  <c r="F17" i="7" l="1"/>
  <c r="F132" i="2" l="1"/>
  <c r="F29" i="7" l="1"/>
  <c r="F23" i="7"/>
  <c r="F27" i="7" l="1"/>
  <c r="F25" i="7"/>
  <c r="F21" i="7"/>
  <c r="F19" i="7"/>
  <c r="F15" i="7"/>
  <c r="F13" i="7"/>
  <c r="F11" i="7"/>
  <c r="F9" i="7"/>
  <c r="F7" i="7"/>
  <c r="F33" i="7" l="1"/>
  <c r="F209" i="2" l="1"/>
  <c r="F120" i="2"/>
  <c r="F128" i="2" l="1"/>
  <c r="F130" i="2"/>
  <c r="F146" i="2" l="1"/>
  <c r="F147" i="2" s="1"/>
  <c r="F204" i="2" l="1"/>
  <c r="F205" i="2" s="1"/>
  <c r="F256" i="2" l="1"/>
  <c r="F6" i="1" s="1"/>
  <c r="F9" i="1" s="1"/>
  <c r="F10" i="1" s="1"/>
  <c r="F12" i="1" s="1"/>
  <c r="F13" i="1" l="1"/>
  <c r="F15" i="1" s="1"/>
</calcChain>
</file>

<file path=xl/sharedStrings.xml><?xml version="1.0" encoding="utf-8"?>
<sst xmlns="http://schemas.openxmlformats.org/spreadsheetml/2006/main" count="238" uniqueCount="131">
  <si>
    <t>sum</t>
  </si>
  <si>
    <t>Electrical COC for the HVAC installation</t>
  </si>
  <si>
    <t>no</t>
  </si>
  <si>
    <t>Condensing Units</t>
  </si>
  <si>
    <t>ELECTRICAL</t>
  </si>
  <si>
    <t>CABLE LADDERS AND WIRE WAYS</t>
  </si>
  <si>
    <t>m</t>
  </si>
  <si>
    <t>Elbow</t>
  </si>
  <si>
    <t>Riser/dropper</t>
  </si>
  <si>
    <t>On site touch up</t>
  </si>
  <si>
    <t>Indoor Units</t>
  </si>
  <si>
    <t>Item</t>
  </si>
  <si>
    <t>Description</t>
  </si>
  <si>
    <t>Unit</t>
  </si>
  <si>
    <t>Qty</t>
  </si>
  <si>
    <t>Rate</t>
  </si>
  <si>
    <t>Amount</t>
  </si>
  <si>
    <t xml:space="preserve"> </t>
  </si>
  <si>
    <t>Subtotal Bill No: 1 - Preliminary and General</t>
  </si>
  <si>
    <t>NOTES TO BE READ IN CONJUNCTION WITH THE TENDER PRICE.</t>
  </si>
  <si>
    <t>15 % VAT</t>
  </si>
  <si>
    <t>Sum</t>
  </si>
  <si>
    <t>Any other P&amp;G items: Contractor to specifiy</t>
  </si>
  <si>
    <t>Carried forward</t>
  </si>
  <si>
    <t>Brought forward</t>
  </si>
  <si>
    <t>All Condensing units to be corrosion treated with Bluchem</t>
  </si>
  <si>
    <t>SUNDRY ITEMS</t>
  </si>
  <si>
    <t>CORROSION TREATMENT</t>
  </si>
  <si>
    <t>Add : 5% Contingency</t>
  </si>
  <si>
    <t>Schedule:</t>
  </si>
  <si>
    <t>Sub-Total</t>
  </si>
  <si>
    <t>150mm Medium duty welded wire mesh</t>
  </si>
  <si>
    <t>FINAL SUMMARY - MECHANICAL HVAC INSTALLATION</t>
  </si>
  <si>
    <t xml:space="preserve">Sub-Total: </t>
  </si>
  <si>
    <t>Liaison with other Contractors and Service providers (ie., Electrician, Medical Gas, Plumber, etc.) for final co-ordination between services with site management to ensure timeous and correct installation.</t>
  </si>
  <si>
    <t>Construction Guarantee</t>
  </si>
  <si>
    <t>Insurances</t>
  </si>
  <si>
    <t>Liaison with Main Contractor on programming and execution of works.</t>
  </si>
  <si>
    <t>Nett price to comply with all the requirements of the Health &amp; Safety specification, ie Health and Safety file, Medicals, PPE for the duration of the contract.</t>
  </si>
  <si>
    <t>Compilation of detail Operating and Maintenance Manuals, as-built drawings and documentation as specified and to the satisfaction of the Engineer.  3-off printed copies and 1x electronic version.</t>
  </si>
  <si>
    <t>12 months guarantee from date of Practical Completion Certificate.</t>
  </si>
  <si>
    <t xml:space="preserve">Training of the Employers staff. </t>
  </si>
  <si>
    <t>12 months full maintenance and service of the installation in accordance with manufacturer's and suppliers specifications.</t>
  </si>
  <si>
    <t>SCHEDULE 1: PRELIMINARY AND GENERAL ITEMS</t>
  </si>
  <si>
    <t>Contract Management and Site Supervision</t>
  </si>
  <si>
    <t xml:space="preserve">    TOTAL SCHEDULE 1 : CARRIED FORWARD TO FINAL SUMMARY</t>
  </si>
  <si>
    <t>TOTAL TENDER PRICE</t>
  </si>
  <si>
    <t>The amount given as the "Total Tender Price" and carried forward to Part C1.1 Form of Offer and Acceptance will be regarded as including the Provisional  and Contingency amounts shown in the various schedules and no adjustments will be made for any failure by Tenderer's to include for any pricing items,  sums or amounts in the total appearing on the official offer.</t>
  </si>
  <si>
    <t>All Material offered should, wherever possible, be of South African manufacture with strong local (Port Elizabeth) after-sales service and backup. In the final adjudication of Tenders, preference will be given to bids offering such equipment and materials.</t>
  </si>
  <si>
    <t>Hanger bracket to securly support and fix all the equipment, ducting, wire baskets and refrigerant piping</t>
  </si>
  <si>
    <t>uPVC insulated condensate drains</t>
  </si>
  <si>
    <t>Any other items: Contractor to specifiy</t>
  </si>
  <si>
    <t>TOTAL FOR SCHEDULE NO. 2 :CARRIED FORWARD TO FINAL SUMMARY</t>
  </si>
  <si>
    <t>2.1.1</t>
  </si>
  <si>
    <t>2.1.2</t>
  </si>
  <si>
    <t>2.4.1</t>
  </si>
  <si>
    <t>Electrically connect, test and verify power supply to the following equipment as specified</t>
  </si>
  <si>
    <t xml:space="preserve">
</t>
  </si>
  <si>
    <t>CONTROLS &amp; CONTROL WIRING</t>
  </si>
  <si>
    <t>Tee</t>
  </si>
  <si>
    <t>Date</t>
  </si>
  <si>
    <t>SCHEDULE 2: HVAC EQUIPMENT INSTALLATION</t>
  </si>
  <si>
    <t>Supply and install, including connection, control wiring between Control Panels, field devices and equipment.  Wiring to run in 20mm PVC conduit with flexible connections and termination glands to each device/terminal.</t>
  </si>
  <si>
    <t>Refrigerant piping to be contained in cable ladder or wire basket.  Descriptions for the trays or basket required for the mechanical installation are deemed to include fixing in position and are also deemed to include waste pieces which cannot be re-used.</t>
  </si>
  <si>
    <t>Preliminary and General Items</t>
  </si>
  <si>
    <t>Compliance with the conditions of contract, contract data, preliminaries and general and all administrative costs and overheads.</t>
  </si>
  <si>
    <t>Wired remote controllers</t>
  </si>
  <si>
    <t>Subtotal Bill No: 2 - HVAC Equipment and Materials</t>
  </si>
  <si>
    <t>The entire mechanical installation in this contract shall be completed prior to completion and acceptance.</t>
  </si>
  <si>
    <t>Name of Mechanical Contractor</t>
  </si>
  <si>
    <t>Signature of Authorised Representative of  Mechanical Contractor</t>
  </si>
  <si>
    <t>Supply and Install as per Tender Drawings P8080M02-001</t>
  </si>
  <si>
    <r>
      <rPr>
        <b/>
        <sz val="10"/>
        <rFont val="Arial"/>
        <family val="2"/>
      </rPr>
      <t xml:space="preserve">FA 1 </t>
    </r>
    <r>
      <rPr>
        <sz val="10"/>
        <rFont val="Arial"/>
        <family val="2"/>
      </rPr>
      <t>- complete as specified and indicated on the drawings</t>
    </r>
  </si>
  <si>
    <t>VENTILATION SYSTEMS</t>
  </si>
  <si>
    <t>2.2.1</t>
  </si>
  <si>
    <t>2D sound attenuators</t>
  </si>
  <si>
    <t xml:space="preserve">System ductwork and air diffusion - complete </t>
  </si>
  <si>
    <t>Installation of complete system</t>
  </si>
  <si>
    <t>Testing and Commissioning.</t>
  </si>
  <si>
    <r>
      <rPr>
        <b/>
        <sz val="10"/>
        <rFont val="Arial"/>
        <family val="2"/>
      </rPr>
      <t xml:space="preserve">FA 2 </t>
    </r>
    <r>
      <rPr>
        <sz val="10"/>
        <rFont val="Arial"/>
        <family val="2"/>
      </rPr>
      <t>- complete as specified and indicated on the drawings</t>
    </r>
  </si>
  <si>
    <t>VRF SYSTEMS</t>
  </si>
  <si>
    <r>
      <t xml:space="preserve">VRF 1 </t>
    </r>
    <r>
      <rPr>
        <sz val="10"/>
        <rFont val="Arial"/>
        <family val="2"/>
      </rPr>
      <t>- complete as specified and indicated on the drawings</t>
    </r>
  </si>
  <si>
    <t>Testing and Commissioning</t>
  </si>
  <si>
    <t xml:space="preserve">Supply and Delivery of: </t>
  </si>
  <si>
    <r>
      <t xml:space="preserve">VRF outdoor unit, heat recovery type, </t>
    </r>
    <r>
      <rPr>
        <b/>
        <sz val="10"/>
        <rFont val="Arial"/>
        <family val="2"/>
      </rPr>
      <t>56kW</t>
    </r>
    <r>
      <rPr>
        <sz val="10"/>
        <rFont val="Arial"/>
        <family val="2"/>
      </rPr>
      <t xml:space="preserve"> min cooling capacity</t>
    </r>
  </si>
  <si>
    <r>
      <t xml:space="preserve">Fan Assembly - </t>
    </r>
    <r>
      <rPr>
        <b/>
        <sz val="10"/>
        <rFont val="Arial"/>
        <family val="2"/>
      </rPr>
      <t>260 L/s @ 200 Pa ESP</t>
    </r>
  </si>
  <si>
    <r>
      <t xml:space="preserve">Fan Assembly  - </t>
    </r>
    <r>
      <rPr>
        <b/>
        <sz val="10"/>
        <rFont val="Arial"/>
        <family val="2"/>
      </rPr>
      <t>280 L/s @ 200 Pa ESP</t>
    </r>
  </si>
  <si>
    <t>MCU units - 4 port</t>
  </si>
  <si>
    <t>MCU units - 6 port</t>
  </si>
  <si>
    <t>Refrigeration piping and associated ancillaries</t>
  </si>
  <si>
    <t xml:space="preserve">Installation of: </t>
  </si>
  <si>
    <t>Condensate drains, complete with insulation</t>
  </si>
  <si>
    <t>1 1/4" nominal Size</t>
  </si>
  <si>
    <t>7/8" nominal Size</t>
  </si>
  <si>
    <t>3/4" nominal Size</t>
  </si>
  <si>
    <t>5/8" nominal Size</t>
  </si>
  <si>
    <t>1/2" nominal Size</t>
  </si>
  <si>
    <t>3/8" nominal Size</t>
  </si>
  <si>
    <t>1/4" nominal Size</t>
  </si>
  <si>
    <t>Y-Joint / Refnet</t>
  </si>
  <si>
    <t>kg</t>
  </si>
  <si>
    <t>Additional refrigerant charge</t>
  </si>
  <si>
    <t>VRF Condending units</t>
  </si>
  <si>
    <r>
      <t xml:space="preserve">Ceiling Cassette units, 600x600, </t>
    </r>
    <r>
      <rPr>
        <b/>
        <sz val="10"/>
        <rFont val="Arial"/>
        <family val="2"/>
      </rPr>
      <t>7.1kW</t>
    </r>
    <r>
      <rPr>
        <sz val="10"/>
        <rFont val="Arial"/>
        <family val="2"/>
      </rPr>
      <t xml:space="preserve"> min cooling capacity, c/w wired controller</t>
    </r>
  </si>
  <si>
    <r>
      <t xml:space="preserve">Ceiling Cassette units, 600x600, </t>
    </r>
    <r>
      <rPr>
        <b/>
        <sz val="10"/>
        <rFont val="Arial"/>
        <family val="2"/>
      </rPr>
      <t>3.6kW</t>
    </r>
    <r>
      <rPr>
        <sz val="10"/>
        <rFont val="Arial"/>
        <family val="2"/>
      </rPr>
      <t xml:space="preserve"> min cooling capacity, c/w wired controller</t>
    </r>
  </si>
  <si>
    <r>
      <t xml:space="preserve">Ceiling Cassette units, 600x600, </t>
    </r>
    <r>
      <rPr>
        <b/>
        <sz val="10"/>
        <rFont val="Arial"/>
        <family val="2"/>
      </rPr>
      <t>2.8kW</t>
    </r>
    <r>
      <rPr>
        <sz val="10"/>
        <rFont val="Arial"/>
        <family val="2"/>
      </rPr>
      <t xml:space="preserve"> min cooling capacity, c/w wired controller</t>
    </r>
  </si>
  <si>
    <r>
      <t xml:space="preserve">Ceiling Cassette units, 600x600, </t>
    </r>
    <r>
      <rPr>
        <b/>
        <sz val="10"/>
        <rFont val="Arial"/>
        <family val="2"/>
      </rPr>
      <t>5.6kW</t>
    </r>
    <r>
      <rPr>
        <sz val="10"/>
        <rFont val="Arial"/>
        <family val="2"/>
      </rPr>
      <t xml:space="preserve"> min cooling capacity, c/w wired controller</t>
    </r>
  </si>
  <si>
    <t>DUCTING</t>
  </si>
  <si>
    <t>Supply and Installation of galvanised sheet metal ducting</t>
  </si>
  <si>
    <t>Diameter 150 mm</t>
  </si>
  <si>
    <t>Diameter 100 mm</t>
  </si>
  <si>
    <t>Diameter 355 mm</t>
  </si>
  <si>
    <t>Diameter 200 mm</t>
  </si>
  <si>
    <t>DUCT FITTINGS</t>
  </si>
  <si>
    <t>Supply and Installation of galvanised sheet metal duct fittings</t>
  </si>
  <si>
    <t>Diameter 355 mm spiral ducts</t>
  </si>
  <si>
    <t>Diameter 275 mm spiral ducts</t>
  </si>
  <si>
    <t>Diameter 250 mm spiral ducts</t>
  </si>
  <si>
    <t>Diameter 200 mm spiral ducts</t>
  </si>
  <si>
    <t>Diameter 150 mm spiral ducts</t>
  </si>
  <si>
    <t>Diameter 100 mm spiral ducts</t>
  </si>
  <si>
    <t>Spigot</t>
  </si>
  <si>
    <t>Bend</t>
  </si>
  <si>
    <t>Taper Piece / Reducer</t>
  </si>
  <si>
    <t>Diameter 275 mm - 200 mm</t>
  </si>
  <si>
    <t>Diameter 355 mm - 250 mm</t>
  </si>
  <si>
    <t>Diameter 355 mm - 275 mm</t>
  </si>
  <si>
    <t>Diameter 250 mm - 200 mm</t>
  </si>
  <si>
    <t>Diameter 200 mm - 150 mm</t>
  </si>
  <si>
    <t>Diameter 150 mm - 100 mm</t>
  </si>
  <si>
    <t>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</si>
</sst>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quot;* #,##0.00_-;\-&quot;R&quot;* #,##0.00_-;_-&quot;R&quot;* &quot;-&quot;??_-;_-@_-"/>
    <numFmt numFmtId="164" formatCode="_ &quot;R&quot;\ * #,##0.00_ ;_ &quot;R&quot;\ * \-#,##0.00_ ;_ &quot;R&quot;\ * &quot;-&quot;??_ ;_ @_ "/>
    <numFmt numFmtId="165" formatCode="_ * #,##0.00_ ;_ * \-#,##0.00_ ;_ * &quot;-&quot;??_ ;_ @_ "/>
    <numFmt numFmtId="166" formatCode="_-* #,##0.000_-;\-* #,##0.000_-;_-* &quot;-&quot;??_-;_-@_-"/>
    <numFmt numFmtId="167" formatCode="_ &quot;R&quot;\ * #,##0.00_ ;_ &quot;R&quot;\ * \-#,##0.00_ ;_ &quot;R&quot;\ * &quot; &quot;??_ ;_ @_ "/>
    <numFmt numFmtId="170" formatCode="0.00_)"/>
    <numFmt numFmtId="171" formatCode="0.0"/>
  </numFmts>
  <fonts count="15" x14ac:knownFonts="1">
    <font>
      <sz val="11"/>
      <color theme="1"/>
      <name val="Calibri"/>
      <family val="2"/>
      <scheme val="minor"/>
    </font>
    <font>
      <sz val="11"/>
      <color theme="1"/>
      <name val="Calibri"/>
      <family val="2"/>
      <scheme val="minor"/>
    </font>
    <font>
      <sz val="10"/>
      <name val="Arial"/>
      <family val="2"/>
    </font>
    <font>
      <sz val="11"/>
      <name val="Arial"/>
      <family val="2"/>
    </font>
    <font>
      <b/>
      <sz val="11"/>
      <name val="Arial"/>
      <family val="2"/>
    </font>
    <font>
      <b/>
      <sz val="10"/>
      <name val="Arial"/>
      <family val="2"/>
    </font>
    <font>
      <sz val="10"/>
      <color theme="1"/>
      <name val="Arial"/>
      <family val="2"/>
    </font>
    <font>
      <b/>
      <u/>
      <sz val="10"/>
      <name val="Arial"/>
      <family val="2"/>
    </font>
    <font>
      <u/>
      <sz val="10"/>
      <name val="Arial"/>
      <family val="2"/>
    </font>
    <font>
      <sz val="6"/>
      <name val="Arial"/>
      <family val="2"/>
    </font>
    <font>
      <sz val="10"/>
      <name val="Courier"/>
      <family val="3"/>
    </font>
    <font>
      <i/>
      <sz val="10"/>
      <name val="Arial"/>
      <family val="2"/>
    </font>
    <font>
      <sz val="8"/>
      <name val="Calibri"/>
      <family val="2"/>
      <scheme val="minor"/>
    </font>
    <font>
      <b/>
      <sz val="10"/>
      <color rgb="FFFF0000"/>
      <name val="Arial"/>
      <family val="2"/>
    </font>
    <font>
      <i/>
      <sz val="10"/>
      <color theme="1"/>
      <name val="Arial"/>
      <family val="2"/>
    </font>
  </fonts>
  <fills count="3">
    <fill>
      <patternFill patternType="none"/>
    </fill>
    <fill>
      <patternFill patternType="gray125"/>
    </fill>
    <fill>
      <patternFill patternType="solid">
        <fgColor indexed="9"/>
        <bgColor indexed="64"/>
      </patternFill>
    </fill>
  </fills>
  <borders count="32">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hair">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double">
        <color indexed="64"/>
      </top>
      <bottom/>
      <diagonal/>
    </border>
    <border>
      <left/>
      <right/>
      <top/>
      <bottom style="double">
        <color indexed="64"/>
      </bottom>
      <diagonal/>
    </border>
  </borders>
  <cellStyleXfs count="8">
    <xf numFmtId="0" fontId="0" fillId="0" borderId="0"/>
    <xf numFmtId="165" fontId="1" fillId="0" borderId="0" applyFont="0" applyFill="0" applyBorder="0" applyAlignment="0" applyProtection="0"/>
    <xf numFmtId="0" fontId="2" fillId="0" borderId="0"/>
    <xf numFmtId="3" fontId="2" fillId="0" borderId="0" applyFont="0" applyFill="0" applyBorder="0" applyAlignment="0" applyProtection="0"/>
    <xf numFmtId="0" fontId="2" fillId="0" borderId="0"/>
    <xf numFmtId="164" fontId="2" fillId="0" borderId="0" applyFont="0" applyFill="0" applyBorder="0" applyAlignment="0" applyProtection="0"/>
    <xf numFmtId="170" fontId="10" fillId="0" borderId="0"/>
    <xf numFmtId="44" fontId="1" fillId="0" borderId="0" applyFont="0" applyFill="0" applyBorder="0" applyAlignment="0" applyProtection="0"/>
  </cellStyleXfs>
  <cellXfs count="201">
    <xf numFmtId="0" fontId="0" fillId="0" borderId="0" xfId="0"/>
    <xf numFmtId="0" fontId="2" fillId="0" borderId="0" xfId="2" applyAlignment="1">
      <alignment vertical="top"/>
    </xf>
    <xf numFmtId="164" fontId="2" fillId="0" borderId="0" xfId="2" applyNumberFormat="1" applyAlignment="1">
      <alignment vertical="top"/>
    </xf>
    <xf numFmtId="0" fontId="2" fillId="0" borderId="0" xfId="2" applyAlignment="1">
      <alignment horizontal="center" vertical="top"/>
    </xf>
    <xf numFmtId="0" fontId="2" fillId="0" borderId="0" xfId="2" applyAlignment="1">
      <alignment vertical="top" wrapText="1"/>
    </xf>
    <xf numFmtId="0" fontId="2" fillId="0" borderId="0" xfId="0" applyFont="1" applyAlignment="1">
      <alignment vertical="top"/>
    </xf>
    <xf numFmtId="4" fontId="3" fillId="0" borderId="0" xfId="3" applyNumberFormat="1" applyFont="1" applyBorder="1" applyAlignment="1">
      <alignment vertical="top"/>
    </xf>
    <xf numFmtId="164" fontId="3" fillId="0" borderId="0" xfId="3" applyNumberFormat="1" applyFont="1" applyBorder="1" applyAlignment="1">
      <alignment vertical="top"/>
    </xf>
    <xf numFmtId="4" fontId="4" fillId="0" borderId="0" xfId="3" applyNumberFormat="1" applyFont="1" applyBorder="1" applyAlignment="1">
      <alignment vertical="top"/>
    </xf>
    <xf numFmtId="4" fontId="2" fillId="0" borderId="0" xfId="0" applyNumberFormat="1" applyFont="1" applyAlignment="1">
      <alignment vertical="top"/>
    </xf>
    <xf numFmtId="165" fontId="2" fillId="0" borderId="0" xfId="0" applyNumberFormat="1" applyFont="1" applyAlignment="1">
      <alignment vertical="top"/>
    </xf>
    <xf numFmtId="166" fontId="2" fillId="0" borderId="0" xfId="0" applyNumberFormat="1" applyFont="1" applyAlignment="1">
      <alignment vertical="top"/>
    </xf>
    <xf numFmtId="166" fontId="3" fillId="0" borderId="0" xfId="3" applyNumberFormat="1" applyFont="1" applyBorder="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164" fontId="2" fillId="0" borderId="2" xfId="2" applyNumberFormat="1" applyBorder="1" applyAlignment="1">
      <alignment vertical="top"/>
    </xf>
    <xf numFmtId="0" fontId="2" fillId="0" borderId="2" xfId="2" applyBorder="1" applyAlignment="1">
      <alignment horizontal="center" vertical="top"/>
    </xf>
    <xf numFmtId="0" fontId="2" fillId="0" borderId="2" xfId="0" applyFont="1" applyBorder="1" applyAlignment="1">
      <alignment horizontal="center" vertical="top"/>
    </xf>
    <xf numFmtId="0" fontId="2" fillId="0" borderId="2" xfId="4" applyBorder="1" applyAlignment="1">
      <alignment horizontal="center" vertical="top" wrapText="1"/>
    </xf>
    <xf numFmtId="0" fontId="5" fillId="0" borderId="2" xfId="0" applyFont="1" applyBorder="1" applyAlignment="1">
      <alignment horizontal="center" vertical="top"/>
    </xf>
    <xf numFmtId="0" fontId="2" fillId="0" borderId="3" xfId="4" applyBorder="1" applyAlignment="1">
      <alignment horizontal="center" vertical="top" wrapText="1"/>
    </xf>
    <xf numFmtId="164" fontId="5" fillId="0" borderId="2" xfId="0" applyNumberFormat="1" applyFont="1" applyBorder="1" applyAlignment="1">
      <alignment horizontal="center" vertical="top"/>
    </xf>
    <xf numFmtId="0" fontId="2" fillId="0" borderId="3" xfId="4" applyBorder="1" applyAlignment="1">
      <alignment vertical="top" wrapText="1"/>
    </xf>
    <xf numFmtId="164" fontId="2" fillId="0" borderId="2" xfId="4" quotePrefix="1" applyNumberFormat="1" applyBorder="1" applyAlignment="1">
      <alignment horizontal="center" vertical="top" wrapText="1"/>
    </xf>
    <xf numFmtId="0" fontId="2" fillId="0" borderId="2" xfId="4" applyBorder="1" applyAlignment="1">
      <alignment vertical="top" wrapText="1"/>
    </xf>
    <xf numFmtId="0" fontId="7" fillId="0" borderId="3" xfId="4" applyFont="1" applyBorder="1" applyAlignment="1">
      <alignment vertical="top" wrapText="1"/>
    </xf>
    <xf numFmtId="0" fontId="2" fillId="0" borderId="1" xfId="0" applyFont="1" applyBorder="1" applyAlignment="1">
      <alignment horizontal="left" vertical="top"/>
    </xf>
    <xf numFmtId="0" fontId="5" fillId="0" borderId="1" xfId="0" applyFont="1" applyBorder="1" applyAlignment="1">
      <alignment horizontal="left" vertical="top"/>
    </xf>
    <xf numFmtId="0" fontId="5" fillId="0" borderId="0" xfId="0" applyFont="1" applyAlignment="1">
      <alignment horizontal="left" vertical="top"/>
    </xf>
    <xf numFmtId="0" fontId="7" fillId="0" borderId="2" xfId="2" applyFont="1" applyBorder="1" applyAlignment="1">
      <alignment vertical="top" wrapText="1"/>
    </xf>
    <xf numFmtId="0" fontId="2" fillId="0" borderId="2" xfId="4" applyBorder="1" applyAlignment="1">
      <alignment horizontal="left" vertical="top" wrapText="1"/>
    </xf>
    <xf numFmtId="0" fontId="5" fillId="0" borderId="3" xfId="0" applyFont="1" applyBorder="1" applyAlignment="1">
      <alignment horizontal="left" vertical="top" wrapText="1"/>
    </xf>
    <xf numFmtId="0" fontId="2" fillId="0" borderId="3" xfId="4" applyBorder="1" applyAlignment="1">
      <alignment horizontal="left" vertical="top" wrapText="1"/>
    </xf>
    <xf numFmtId="0" fontId="2" fillId="0" borderId="3" xfId="0" applyFont="1" applyBorder="1" applyAlignment="1">
      <alignment horizontal="center" vertical="top"/>
    </xf>
    <xf numFmtId="0" fontId="2" fillId="0" borderId="2" xfId="0" applyFont="1" applyBorder="1" applyAlignment="1">
      <alignment vertical="top" wrapText="1"/>
    </xf>
    <xf numFmtId="0" fontId="2" fillId="0" borderId="2" xfId="0" applyFont="1" applyBorder="1" applyAlignment="1">
      <alignment vertical="top"/>
    </xf>
    <xf numFmtId="0" fontId="2" fillId="0" borderId="3" xfId="0" applyFont="1" applyBorder="1" applyAlignment="1">
      <alignment vertical="top"/>
    </xf>
    <xf numFmtId="0" fontId="2" fillId="0" borderId="3" xfId="2" applyBorder="1" applyAlignment="1">
      <alignment horizontal="center" vertical="top"/>
    </xf>
    <xf numFmtId="0" fontId="2" fillId="0" borderId="3" xfId="0" applyFont="1" applyBorder="1" applyAlignment="1">
      <alignment vertical="top" wrapText="1"/>
    </xf>
    <xf numFmtId="0" fontId="2" fillId="0" borderId="2" xfId="2" applyBorder="1" applyAlignment="1">
      <alignment horizontal="left" vertical="top" wrapText="1"/>
    </xf>
    <xf numFmtId="0" fontId="2" fillId="0" borderId="0" xfId="2" applyAlignment="1">
      <alignment horizontal="center" vertical="center"/>
    </xf>
    <xf numFmtId="0" fontId="2" fillId="0" borderId="0" xfId="2" applyAlignment="1">
      <alignment horizontal="left" vertical="center" wrapText="1"/>
    </xf>
    <xf numFmtId="0" fontId="5" fillId="2" borderId="6" xfId="2" applyFont="1" applyFill="1" applyBorder="1" applyAlignment="1">
      <alignment horizontal="center" vertical="center"/>
    </xf>
    <xf numFmtId="0" fontId="5" fillId="2" borderId="7" xfId="2" applyFont="1" applyFill="1" applyBorder="1" applyAlignment="1">
      <alignment horizontal="left" vertical="center" wrapText="1"/>
    </xf>
    <xf numFmtId="0" fontId="5" fillId="2" borderId="7" xfId="2" applyFont="1" applyFill="1" applyBorder="1" applyAlignment="1">
      <alignment horizontal="center" vertical="center"/>
    </xf>
    <xf numFmtId="0" fontId="5" fillId="0" borderId="9" xfId="2" applyFont="1" applyBorder="1" applyAlignment="1">
      <alignment horizontal="center" vertical="center"/>
    </xf>
    <xf numFmtId="0" fontId="5" fillId="0" borderId="2" xfId="2" applyFont="1" applyBorder="1" applyAlignment="1">
      <alignment horizontal="left" vertical="center" wrapText="1"/>
    </xf>
    <xf numFmtId="0" fontId="5" fillId="0" borderId="2" xfId="2" applyFont="1" applyBorder="1" applyAlignment="1">
      <alignment horizontal="center" vertical="center"/>
    </xf>
    <xf numFmtId="0" fontId="2" fillId="0" borderId="9" xfId="2" applyBorder="1" applyAlignment="1">
      <alignment horizontal="center" vertical="top"/>
    </xf>
    <xf numFmtId="0" fontId="5" fillId="0" borderId="2" xfId="2" applyFont="1" applyBorder="1" applyAlignment="1">
      <alignment horizontal="left" vertical="top" wrapText="1"/>
    </xf>
    <xf numFmtId="164" fontId="2" fillId="0" borderId="2" xfId="0" applyNumberFormat="1" applyFont="1" applyBorder="1" applyAlignment="1">
      <alignment vertical="top"/>
    </xf>
    <xf numFmtId="0" fontId="2" fillId="0" borderId="9" xfId="2" applyBorder="1" applyAlignment="1">
      <alignment horizontal="right" vertical="top"/>
    </xf>
    <xf numFmtId="0" fontId="2" fillId="0" borderId="13" xfId="2" applyBorder="1" applyAlignment="1">
      <alignment vertical="top"/>
    </xf>
    <xf numFmtId="0" fontId="2" fillId="0" borderId="9" xfId="2" applyBorder="1" applyAlignment="1">
      <alignment vertical="top"/>
    </xf>
    <xf numFmtId="0" fontId="2" fillId="0" borderId="12" xfId="2" applyBorder="1" applyAlignment="1">
      <alignment horizontal="fill" vertical="top"/>
    </xf>
    <xf numFmtId="170" fontId="9" fillId="0" borderId="0" xfId="6" applyFont="1"/>
    <xf numFmtId="171" fontId="2" fillId="0" borderId="0" xfId="6" applyNumberFormat="1" applyFont="1" applyAlignment="1">
      <alignment vertical="top"/>
    </xf>
    <xf numFmtId="170" fontId="2" fillId="0" borderId="0" xfId="6" applyFont="1" applyAlignment="1">
      <alignment vertical="top" wrapText="1"/>
    </xf>
    <xf numFmtId="170" fontId="2" fillId="0" borderId="0" xfId="6" applyFont="1" applyAlignment="1">
      <alignment vertical="top"/>
    </xf>
    <xf numFmtId="170" fontId="2" fillId="0" borderId="0" xfId="6" applyFont="1"/>
    <xf numFmtId="171" fontId="2" fillId="0" borderId="0" xfId="6" applyNumberFormat="1" applyFont="1" applyAlignment="1">
      <alignment horizontal="center" vertical="top"/>
    </xf>
    <xf numFmtId="170" fontId="2" fillId="0" borderId="0" xfId="6" applyFont="1" applyAlignment="1">
      <alignment vertical="center"/>
    </xf>
    <xf numFmtId="171" fontId="2" fillId="0" borderId="0" xfId="6" quotePrefix="1" applyNumberFormat="1" applyFont="1" applyAlignment="1">
      <alignment horizontal="left" vertical="top"/>
    </xf>
    <xf numFmtId="170" fontId="2" fillId="0" borderId="0" xfId="6" quotePrefix="1" applyFont="1" applyAlignment="1">
      <alignment horizontal="fill" vertical="top" wrapText="1"/>
    </xf>
    <xf numFmtId="170" fontId="2" fillId="0" borderId="0" xfId="6" applyFont="1" applyAlignment="1">
      <alignment horizontal="fill" vertical="top"/>
    </xf>
    <xf numFmtId="170" fontId="2" fillId="0" borderId="0" xfId="6" applyFont="1" applyAlignment="1">
      <alignment horizontal="left" vertical="top"/>
    </xf>
    <xf numFmtId="171" fontId="2" fillId="0" borderId="0" xfId="6" applyNumberFormat="1" applyFont="1" applyAlignment="1">
      <alignment horizontal="left" vertical="top"/>
    </xf>
    <xf numFmtId="170" fontId="2" fillId="0" borderId="0" xfId="6" applyFont="1" applyAlignment="1">
      <alignment horizontal="left" vertical="top" wrapText="1"/>
    </xf>
    <xf numFmtId="0" fontId="2" fillId="0" borderId="0" xfId="0" applyFont="1"/>
    <xf numFmtId="171" fontId="2" fillId="0" borderId="1" xfId="0" applyNumberFormat="1" applyFont="1" applyBorder="1" applyAlignment="1">
      <alignment vertical="top"/>
    </xf>
    <xf numFmtId="0" fontId="2" fillId="0" borderId="1" xfId="0" applyFont="1" applyBorder="1" applyAlignment="1">
      <alignment vertical="top" wrapText="1"/>
    </xf>
    <xf numFmtId="171" fontId="2" fillId="0" borderId="0" xfId="0" applyNumberFormat="1" applyFont="1" applyAlignment="1">
      <alignment vertical="top"/>
    </xf>
    <xf numFmtId="0" fontId="2" fillId="0" borderId="0" xfId="0" applyFont="1" applyAlignment="1">
      <alignment vertical="top" wrapText="1"/>
    </xf>
    <xf numFmtId="0" fontId="2" fillId="0" borderId="1" xfId="0" applyFont="1" applyBorder="1" applyAlignment="1">
      <alignment vertical="top"/>
    </xf>
    <xf numFmtId="167" fontId="5" fillId="0" borderId="2" xfId="2" applyNumberFormat="1" applyFont="1" applyBorder="1" applyAlignment="1">
      <alignment horizontal="center" vertical="center"/>
    </xf>
    <xf numFmtId="0" fontId="5" fillId="0" borderId="9" xfId="2" applyFont="1" applyBorder="1" applyAlignment="1">
      <alignment horizontal="center" vertical="top"/>
    </xf>
    <xf numFmtId="167" fontId="2" fillId="0" borderId="2" xfId="2" applyNumberFormat="1" applyBorder="1" applyAlignment="1">
      <alignment vertical="top"/>
    </xf>
    <xf numFmtId="167" fontId="2" fillId="0" borderId="10" xfId="2" applyNumberFormat="1" applyBorder="1" applyAlignment="1">
      <alignment vertical="top"/>
    </xf>
    <xf numFmtId="0" fontId="2" fillId="0" borderId="2" xfId="0" applyFont="1" applyBorder="1" applyAlignment="1">
      <alignment horizontal="left" vertical="top" wrapText="1"/>
    </xf>
    <xf numFmtId="167" fontId="2" fillId="0" borderId="15" xfId="2" applyNumberFormat="1" applyBorder="1" applyAlignment="1">
      <alignment vertical="top"/>
    </xf>
    <xf numFmtId="167" fontId="2" fillId="0" borderId="8" xfId="2" applyNumberFormat="1" applyBorder="1" applyAlignment="1">
      <alignment horizontal="center" vertical="top"/>
    </xf>
    <xf numFmtId="0" fontId="5" fillId="0" borderId="9" xfId="2" quotePrefix="1" applyFont="1" applyBorder="1" applyAlignment="1">
      <alignment horizontal="center" vertical="top"/>
    </xf>
    <xf numFmtId="167" fontId="5" fillId="0" borderId="10" xfId="2" applyNumberFormat="1" applyFont="1" applyBorder="1" applyAlignment="1">
      <alignment vertical="center"/>
    </xf>
    <xf numFmtId="0" fontId="5" fillId="0" borderId="14" xfId="2" applyFont="1" applyBorder="1" applyAlignment="1">
      <alignment horizontal="left" vertical="center" wrapText="1"/>
    </xf>
    <xf numFmtId="167" fontId="5" fillId="2" borderId="7" xfId="2" applyNumberFormat="1" applyFont="1" applyFill="1" applyBorder="1" applyAlignment="1">
      <alignment horizontal="center" vertical="center"/>
    </xf>
    <xf numFmtId="0" fontId="5" fillId="0" borderId="13" xfId="2" applyFont="1" applyBorder="1" applyAlignment="1">
      <alignment horizontal="center" vertical="center"/>
    </xf>
    <xf numFmtId="0" fontId="5" fillId="0" borderId="14" xfId="2" applyFont="1" applyBorder="1" applyAlignment="1">
      <alignment horizontal="center" vertical="center"/>
    </xf>
    <xf numFmtId="167" fontId="5" fillId="0" borderId="14" xfId="2" applyNumberFormat="1" applyFont="1" applyBorder="1" applyAlignment="1">
      <alignment horizontal="center" vertical="center"/>
    </xf>
    <xf numFmtId="0" fontId="5" fillId="0" borderId="16" xfId="0" applyFont="1" applyBorder="1" applyAlignment="1">
      <alignment horizontal="center" vertical="top"/>
    </xf>
    <xf numFmtId="0" fontId="2" fillId="0" borderId="16" xfId="2" applyBorder="1" applyAlignment="1">
      <alignment horizontal="center" vertical="top" wrapText="1"/>
    </xf>
    <xf numFmtId="0" fontId="5" fillId="0" borderId="16" xfId="2" applyFont="1" applyBorder="1" applyAlignment="1">
      <alignment horizontal="center" vertical="top" wrapText="1"/>
    </xf>
    <xf numFmtId="0" fontId="5" fillId="0" borderId="16" xfId="4" applyFont="1" applyBorder="1" applyAlignment="1">
      <alignment horizontal="center" vertical="top"/>
    </xf>
    <xf numFmtId="0" fontId="2" fillId="0" borderId="16" xfId="4" applyBorder="1" applyAlignment="1">
      <alignment horizontal="center" vertical="top"/>
    </xf>
    <xf numFmtId="0" fontId="2" fillId="0" borderId="9" xfId="4" applyBorder="1" applyAlignment="1">
      <alignment horizontal="center" vertical="top"/>
    </xf>
    <xf numFmtId="0" fontId="2" fillId="0" borderId="20" xfId="0" applyFont="1" applyBorder="1" applyAlignment="1">
      <alignment horizontal="left" vertical="top"/>
    </xf>
    <xf numFmtId="0" fontId="2" fillId="0" borderId="20" xfId="0" applyFont="1" applyBorder="1" applyAlignment="1">
      <alignment horizontal="center" vertical="top"/>
    </xf>
    <xf numFmtId="0" fontId="2" fillId="0" borderId="5" xfId="0" applyFont="1" applyBorder="1" applyAlignment="1">
      <alignment horizontal="left" vertical="top"/>
    </xf>
    <xf numFmtId="0" fontId="2" fillId="0" borderId="5" xfId="0" applyFont="1" applyBorder="1" applyAlignment="1">
      <alignment horizontal="center" vertical="top"/>
    </xf>
    <xf numFmtId="0" fontId="2" fillId="0" borderId="25" xfId="2" applyBorder="1" applyAlignment="1">
      <alignment horizontal="center" vertical="top" wrapText="1"/>
    </xf>
    <xf numFmtId="0" fontId="2" fillId="0" borderId="26" xfId="4" applyBorder="1" applyAlignment="1">
      <alignment horizontal="center" vertical="top" wrapText="1"/>
    </xf>
    <xf numFmtId="164" fontId="2" fillId="0" borderId="26" xfId="4" quotePrefix="1" applyNumberFormat="1" applyBorder="1" applyAlignment="1">
      <alignment horizontal="center" vertical="top" wrapText="1"/>
    </xf>
    <xf numFmtId="167" fontId="2" fillId="0" borderId="15" xfId="2" applyNumberFormat="1" applyBorder="1" applyAlignment="1">
      <alignment horizontal="right" vertical="center"/>
    </xf>
    <xf numFmtId="0" fontId="5" fillId="0" borderId="26" xfId="2" applyFont="1" applyBorder="1" applyAlignment="1">
      <alignment horizontal="center" vertical="top" wrapText="1"/>
    </xf>
    <xf numFmtId="0" fontId="5" fillId="0" borderId="2" xfId="2" applyFont="1" applyBorder="1" applyAlignment="1">
      <alignment horizontal="center" vertical="top" wrapText="1"/>
    </xf>
    <xf numFmtId="0" fontId="5" fillId="0" borderId="13" xfId="0" applyFont="1" applyBorder="1" applyAlignment="1">
      <alignment horizontal="left" vertical="top"/>
    </xf>
    <xf numFmtId="0" fontId="5" fillId="0" borderId="12" xfId="0" applyFont="1" applyBorder="1" applyAlignment="1">
      <alignment horizontal="left" vertical="top"/>
    </xf>
    <xf numFmtId="44" fontId="2" fillId="0" borderId="0" xfId="3" applyNumberFormat="1" applyFont="1" applyFill="1" applyBorder="1" applyAlignment="1">
      <alignment horizontal="center" vertical="top"/>
    </xf>
    <xf numFmtId="44" fontId="5" fillId="2" borderId="22" xfId="2" applyNumberFormat="1" applyFont="1" applyFill="1" applyBorder="1" applyAlignment="1">
      <alignment horizontal="center" vertical="center"/>
    </xf>
    <xf numFmtId="44" fontId="2" fillId="0" borderId="15" xfId="2" applyNumberFormat="1" applyBorder="1" applyAlignment="1">
      <alignment horizontal="right" vertical="center"/>
    </xf>
    <xf numFmtId="44" fontId="5" fillId="0" borderId="23" xfId="3" applyNumberFormat="1" applyFont="1" applyBorder="1" applyAlignment="1">
      <alignment horizontal="center" vertical="top"/>
    </xf>
    <xf numFmtId="44" fontId="3" fillId="0" borderId="10" xfId="2" applyNumberFormat="1" applyFont="1" applyBorder="1" applyAlignment="1">
      <alignment vertical="top"/>
    </xf>
    <xf numFmtId="44" fontId="3" fillId="0" borderId="23" xfId="2" applyNumberFormat="1" applyFont="1" applyBorder="1" applyAlignment="1">
      <alignment vertical="top"/>
    </xf>
    <xf numFmtId="44" fontId="3" fillId="0" borderId="24" xfId="2" applyNumberFormat="1" applyFont="1" applyBorder="1" applyAlignment="1">
      <alignment vertical="top"/>
    </xf>
    <xf numFmtId="44" fontId="2" fillId="0" borderId="10" xfId="2" applyNumberFormat="1" applyBorder="1" applyAlignment="1">
      <alignment vertical="top"/>
    </xf>
    <xf numFmtId="44" fontId="2" fillId="0" borderId="15" xfId="3" applyNumberFormat="1" applyFont="1" applyBorder="1" applyAlignment="1">
      <alignment horizontal="center" vertical="top"/>
    </xf>
    <xf numFmtId="44" fontId="5" fillId="0" borderId="10" xfId="2" applyNumberFormat="1" applyFont="1" applyBorder="1" applyAlignment="1">
      <alignment vertical="center"/>
    </xf>
    <xf numFmtId="44" fontId="2" fillId="0" borderId="8" xfId="3" applyNumberFormat="1" applyFont="1" applyBorder="1" applyAlignment="1">
      <alignment horizontal="center" vertical="top"/>
    </xf>
    <xf numFmtId="44" fontId="3" fillId="0" borderId="0" xfId="2" applyNumberFormat="1" applyFont="1" applyAlignment="1">
      <alignment vertical="top"/>
    </xf>
    <xf numFmtId="0" fontId="2" fillId="0" borderId="2" xfId="2" applyBorder="1" applyAlignment="1">
      <alignment vertical="top" wrapText="1"/>
    </xf>
    <xf numFmtId="170" fontId="2" fillId="0" borderId="0" xfId="6" applyFont="1" applyAlignment="1">
      <alignment horizontal="center" vertical="center"/>
    </xf>
    <xf numFmtId="171" fontId="8" fillId="0" borderId="0" xfId="6" applyNumberFormat="1" applyFont="1" applyAlignment="1">
      <alignment horizontal="center" vertical="top"/>
    </xf>
    <xf numFmtId="170" fontId="2" fillId="0" borderId="1" xfId="6" applyFont="1" applyBorder="1" applyAlignment="1">
      <alignment horizontal="center" vertical="center"/>
    </xf>
    <xf numFmtId="1" fontId="2" fillId="0" borderId="0" xfId="6" quotePrefix="1" applyNumberFormat="1" applyFont="1" applyAlignment="1">
      <alignment horizontal="center" vertical="center"/>
    </xf>
    <xf numFmtId="1" fontId="2" fillId="0" borderId="0" xfId="6" applyNumberFormat="1" applyFont="1" applyAlignment="1">
      <alignment horizontal="center" vertical="top"/>
    </xf>
    <xf numFmtId="0" fontId="5" fillId="0" borderId="9" xfId="0" applyFont="1" applyBorder="1" applyAlignment="1">
      <alignment horizontal="center" vertical="top"/>
    </xf>
    <xf numFmtId="0" fontId="7" fillId="0" borderId="2" xfId="0" applyFont="1" applyBorder="1" applyAlignment="1">
      <alignment vertical="top" wrapText="1"/>
    </xf>
    <xf numFmtId="0" fontId="0" fillId="0" borderId="2" xfId="0" applyBorder="1" applyAlignment="1">
      <alignment vertical="top" wrapText="1"/>
    </xf>
    <xf numFmtId="0" fontId="0" fillId="0" borderId="2" xfId="0" applyBorder="1" applyAlignment="1">
      <alignment horizontal="center" vertical="top" wrapText="1"/>
    </xf>
    <xf numFmtId="44" fontId="2" fillId="0" borderId="10" xfId="0" applyNumberFormat="1" applyFont="1" applyBorder="1" applyAlignment="1">
      <alignment vertical="top"/>
    </xf>
    <xf numFmtId="0" fontId="2" fillId="0" borderId="9" xfId="0" applyFont="1" applyBorder="1" applyAlignment="1">
      <alignment horizontal="center" vertical="top"/>
    </xf>
    <xf numFmtId="0" fontId="6" fillId="0" borderId="2" xfId="0" applyFont="1" applyBorder="1" applyAlignment="1">
      <alignment vertical="top" wrapText="1"/>
    </xf>
    <xf numFmtId="0" fontId="6" fillId="0" borderId="2" xfId="0" quotePrefix="1" applyFont="1" applyBorder="1" applyAlignment="1">
      <alignment horizontal="center" vertical="top" wrapText="1"/>
    </xf>
    <xf numFmtId="164" fontId="2" fillId="0" borderId="2" xfId="0" quotePrefix="1" applyNumberFormat="1" applyFont="1" applyBorder="1" applyAlignment="1">
      <alignment horizontal="center" vertical="top"/>
    </xf>
    <xf numFmtId="0" fontId="6" fillId="0" borderId="2" xfId="0" applyFont="1" applyBorder="1" applyAlignment="1">
      <alignment horizontal="center" vertical="top" wrapText="1"/>
    </xf>
    <xf numFmtId="164" fontId="2" fillId="0" borderId="2" xfId="0" applyNumberFormat="1" applyFont="1" applyBorder="1" applyAlignment="1">
      <alignment horizontal="center" vertical="top"/>
    </xf>
    <xf numFmtId="0" fontId="6" fillId="0" borderId="3" xfId="0" applyFont="1" applyBorder="1" applyAlignment="1">
      <alignment vertical="top" wrapText="1"/>
    </xf>
    <xf numFmtId="44" fontId="5" fillId="0" borderId="10" xfId="1" applyNumberFormat="1" applyFont="1" applyFill="1" applyBorder="1" applyAlignment="1">
      <alignment horizontal="center" vertical="top"/>
    </xf>
    <xf numFmtId="44" fontId="2" fillId="0" borderId="23" xfId="2" applyNumberFormat="1" applyBorder="1" applyAlignment="1">
      <alignment vertical="top"/>
    </xf>
    <xf numFmtId="0" fontId="5" fillId="0" borderId="9" xfId="2" applyFont="1" applyBorder="1" applyAlignment="1">
      <alignment horizontal="center" vertical="top" wrapText="1"/>
    </xf>
    <xf numFmtId="170" fontId="2" fillId="0" borderId="0" xfId="6" applyFont="1" applyAlignment="1">
      <alignment horizontal="left" vertical="center" wrapText="1"/>
    </xf>
    <xf numFmtId="0" fontId="13" fillId="0" borderId="2" xfId="0" applyFont="1" applyBorder="1" applyAlignment="1">
      <alignment horizontal="center" vertical="top"/>
    </xf>
    <xf numFmtId="0" fontId="7" fillId="0" borderId="2" xfId="0" applyFont="1" applyBorder="1" applyAlignment="1">
      <alignment vertical="center" wrapText="1"/>
    </xf>
    <xf numFmtId="0" fontId="7" fillId="0" borderId="2" xfId="0" applyFont="1" applyBorder="1" applyAlignment="1">
      <alignment vertical="top"/>
    </xf>
    <xf numFmtId="0" fontId="5" fillId="0" borderId="2" xfId="0" applyFont="1" applyBorder="1" applyAlignment="1">
      <alignment vertical="top" wrapText="1"/>
    </xf>
    <xf numFmtId="0" fontId="2" fillId="0" borderId="11" xfId="2" applyBorder="1" applyAlignment="1">
      <alignment vertical="top" wrapText="1"/>
    </xf>
    <xf numFmtId="0" fontId="2" fillId="0" borderId="16" xfId="2" applyBorder="1" applyAlignment="1">
      <alignment horizontal="center" vertical="top"/>
    </xf>
    <xf numFmtId="167" fontId="5" fillId="2" borderId="22" xfId="2" applyNumberFormat="1" applyFont="1" applyFill="1" applyBorder="1" applyAlignment="1">
      <alignment horizontal="center" vertical="center"/>
    </xf>
    <xf numFmtId="167" fontId="2" fillId="0" borderId="0" xfId="2" applyNumberFormat="1" applyAlignment="1">
      <alignment vertical="top"/>
    </xf>
    <xf numFmtId="44" fontId="3" fillId="0" borderId="0" xfId="6" applyNumberFormat="1" applyFont="1" applyAlignment="1">
      <alignment horizontal="center" vertical="center"/>
    </xf>
    <xf numFmtId="44" fontId="3" fillId="0" borderId="1" xfId="6" applyNumberFormat="1" applyFont="1" applyBorder="1" applyAlignment="1">
      <alignment horizontal="left" vertical="center"/>
    </xf>
    <xf numFmtId="44" fontId="3" fillId="0" borderId="1" xfId="6" applyNumberFormat="1" applyFont="1" applyBorder="1" applyAlignment="1">
      <alignment horizontal="left" vertical="center" wrapText="1"/>
    </xf>
    <xf numFmtId="44" fontId="3" fillId="0" borderId="0" xfId="6" applyNumberFormat="1" applyFont="1" applyAlignment="1">
      <alignment horizontal="left" vertical="center"/>
    </xf>
    <xf numFmtId="0" fontId="5" fillId="0" borderId="16" xfId="2" applyFont="1" applyBorder="1" applyAlignment="1">
      <alignment horizontal="center" vertical="center"/>
    </xf>
    <xf numFmtId="44" fontId="2" fillId="0" borderId="23" xfId="2" applyNumberFormat="1" applyBorder="1" applyAlignment="1">
      <alignment horizontal="right" vertical="center"/>
    </xf>
    <xf numFmtId="0" fontId="11" fillId="0" borderId="2" xfId="2" applyFont="1" applyBorder="1" applyAlignment="1">
      <alignment horizontal="left" vertical="center" wrapText="1"/>
    </xf>
    <xf numFmtId="0" fontId="5" fillId="0" borderId="2" xfId="2" applyFont="1" applyBorder="1" applyAlignment="1">
      <alignment vertical="top" wrapText="1"/>
    </xf>
    <xf numFmtId="0" fontId="8" fillId="0" borderId="2" xfId="2" applyFont="1" applyBorder="1" applyAlignment="1">
      <alignment horizontal="left" vertical="top" wrapText="1"/>
    </xf>
    <xf numFmtId="0" fontId="11" fillId="0" borderId="3" xfId="4" applyFont="1" applyBorder="1" applyAlignment="1">
      <alignment vertical="top" wrapText="1"/>
    </xf>
    <xf numFmtId="0" fontId="14" fillId="0" borderId="2" xfId="0" applyFont="1" applyBorder="1" applyAlignment="1">
      <alignment vertical="top" wrapText="1"/>
    </xf>
    <xf numFmtId="171" fontId="5" fillId="0" borderId="9" xfId="0" quotePrefix="1" applyNumberFormat="1" applyFont="1" applyBorder="1" applyAlignment="1">
      <alignment horizontal="center" vertical="top"/>
    </xf>
    <xf numFmtId="0" fontId="2" fillId="0" borderId="27" xfId="2" applyBorder="1" applyAlignment="1">
      <alignment horizontal="center" vertical="top" wrapText="1"/>
    </xf>
    <xf numFmtId="0" fontId="5" fillId="0" borderId="28" xfId="2" applyFont="1" applyBorder="1" applyAlignment="1">
      <alignment horizontal="center" vertical="top" wrapText="1"/>
    </xf>
    <xf numFmtId="0" fontId="2" fillId="0" borderId="28" xfId="4" applyBorder="1" applyAlignment="1">
      <alignment horizontal="center" vertical="top" wrapText="1"/>
    </xf>
    <xf numFmtId="164" fontId="2" fillId="0" borderId="28" xfId="4" quotePrefix="1" applyNumberFormat="1" applyBorder="1" applyAlignment="1">
      <alignment horizontal="center" vertical="top" wrapText="1"/>
    </xf>
    <xf numFmtId="44" fontId="3" fillId="0" borderId="29" xfId="2" applyNumberFormat="1" applyFont="1" applyBorder="1" applyAlignment="1">
      <alignment vertical="top"/>
    </xf>
    <xf numFmtId="0" fontId="5" fillId="0" borderId="0" xfId="2" applyFont="1" applyAlignment="1">
      <alignment horizontal="left" vertical="top" wrapText="1"/>
    </xf>
    <xf numFmtId="0" fontId="2" fillId="0" borderId="9" xfId="0" applyFont="1" applyBorder="1" applyAlignment="1">
      <alignment vertical="top"/>
    </xf>
    <xf numFmtId="170" fontId="2" fillId="0" borderId="1" xfId="6" applyFont="1" applyBorder="1" applyAlignment="1">
      <alignment vertical="center" wrapText="1"/>
    </xf>
    <xf numFmtId="170" fontId="5" fillId="0" borderId="0" xfId="6" applyFont="1" applyAlignment="1">
      <alignment vertical="center" wrapText="1"/>
    </xf>
    <xf numFmtId="171" fontId="2" fillId="0" borderId="1" xfId="6" applyNumberFormat="1" applyFont="1" applyBorder="1" applyAlignment="1">
      <alignment vertical="center"/>
    </xf>
    <xf numFmtId="44" fontId="3" fillId="0" borderId="30" xfId="6" applyNumberFormat="1" applyFont="1" applyBorder="1" applyAlignment="1">
      <alignment horizontal="center" vertical="center"/>
    </xf>
    <xf numFmtId="170" fontId="2" fillId="0" borderId="0" xfId="6" applyFont="1" applyAlignment="1">
      <alignment vertical="center" wrapText="1"/>
    </xf>
    <xf numFmtId="44" fontId="4" fillId="0" borderId="0" xfId="6" applyNumberFormat="1" applyFont="1" applyAlignment="1">
      <alignment horizontal="left" vertical="center"/>
    </xf>
    <xf numFmtId="1" fontId="2" fillId="0" borderId="1" xfId="6" quotePrefix="1" applyNumberFormat="1" applyFont="1" applyBorder="1" applyAlignment="1">
      <alignment horizontal="center" vertical="center"/>
    </xf>
    <xf numFmtId="171" fontId="2" fillId="0" borderId="0" xfId="6" applyNumberFormat="1" applyFont="1" applyAlignment="1">
      <alignment vertical="center"/>
    </xf>
    <xf numFmtId="44" fontId="3" fillId="0" borderId="0" xfId="6" applyNumberFormat="1" applyFont="1" applyAlignment="1">
      <alignment horizontal="left" vertical="center" wrapText="1"/>
    </xf>
    <xf numFmtId="171" fontId="5" fillId="0" borderId="0" xfId="6" applyNumberFormat="1" applyFont="1" applyAlignment="1">
      <alignment vertical="center"/>
    </xf>
    <xf numFmtId="44" fontId="4" fillId="0" borderId="0" xfId="6" applyNumberFormat="1" applyFont="1" applyAlignment="1">
      <alignment horizontal="left" vertical="center" wrapText="1"/>
    </xf>
    <xf numFmtId="44" fontId="4" fillId="0" borderId="31" xfId="6" applyNumberFormat="1" applyFont="1" applyBorder="1" applyAlignment="1">
      <alignment horizontal="left" vertical="center"/>
    </xf>
    <xf numFmtId="0" fontId="8" fillId="0" borderId="2" xfId="0" applyFont="1" applyBorder="1" applyAlignment="1">
      <alignment vertical="top" wrapText="1"/>
    </xf>
    <xf numFmtId="0" fontId="11" fillId="0" borderId="2" xfId="0" applyFont="1" applyBorder="1" applyAlignment="1">
      <alignment vertical="top" wrapText="1"/>
    </xf>
    <xf numFmtId="44" fontId="2" fillId="0" borderId="0" xfId="7" applyFont="1" applyAlignment="1">
      <alignment vertical="top"/>
    </xf>
    <xf numFmtId="2" fontId="5" fillId="0" borderId="9" xfId="2" quotePrefix="1" applyNumberFormat="1" applyFont="1" applyBorder="1" applyAlignment="1">
      <alignment horizontal="center" vertical="top"/>
    </xf>
    <xf numFmtId="0" fontId="5" fillId="0" borderId="17" xfId="2" applyFont="1" applyBorder="1" applyAlignment="1">
      <alignment horizontal="left" vertical="top" wrapText="1"/>
    </xf>
    <xf numFmtId="0" fontId="5" fillId="0" borderId="5" xfId="2" applyFont="1" applyBorder="1" applyAlignment="1">
      <alignment horizontal="left" vertical="top" wrapText="1"/>
    </xf>
    <xf numFmtId="0" fontId="5" fillId="0" borderId="18" xfId="2" applyFont="1" applyBorder="1" applyAlignment="1">
      <alignment horizontal="left" vertical="top" wrapText="1"/>
    </xf>
    <xf numFmtId="2" fontId="5" fillId="0" borderId="0" xfId="2" applyNumberFormat="1" applyFont="1" applyAlignment="1">
      <alignment horizontal="left"/>
    </xf>
    <xf numFmtId="0" fontId="2" fillId="0" borderId="5" xfId="2" applyBorder="1" applyAlignment="1">
      <alignment horizontal="center" vertical="center"/>
    </xf>
    <xf numFmtId="0" fontId="5" fillId="0" borderId="19" xfId="2" applyFont="1" applyBorder="1" applyAlignment="1">
      <alignment horizontal="left" vertical="top" wrapText="1"/>
    </xf>
    <xf numFmtId="0" fontId="5" fillId="0" borderId="20" xfId="2" applyFont="1" applyBorder="1" applyAlignment="1">
      <alignment horizontal="left" vertical="top" wrapText="1"/>
    </xf>
    <xf numFmtId="0" fontId="5" fillId="0" borderId="21" xfId="2" applyFont="1" applyBorder="1" applyAlignment="1">
      <alignment horizontal="left" vertical="top" wrapText="1"/>
    </xf>
    <xf numFmtId="0" fontId="5" fillId="0" borderId="3" xfId="2" applyFont="1" applyBorder="1" applyAlignment="1">
      <alignment horizontal="right" vertical="center" wrapText="1"/>
    </xf>
    <xf numFmtId="0" fontId="5" fillId="0" borderId="0" xfId="2" applyFont="1" applyAlignment="1">
      <alignment horizontal="right" vertical="center" wrapText="1"/>
    </xf>
    <xf numFmtId="0" fontId="5" fillId="0" borderId="4" xfId="2" applyFont="1" applyBorder="1" applyAlignment="1">
      <alignment horizontal="right" vertical="center" wrapText="1"/>
    </xf>
    <xf numFmtId="0" fontId="5" fillId="0" borderId="0" xfId="2" applyFont="1" applyAlignment="1">
      <alignment horizontal="right" vertical="top" wrapText="1"/>
    </xf>
    <xf numFmtId="0" fontId="5" fillId="0" borderId="4" xfId="2" applyFont="1" applyBorder="1" applyAlignment="1">
      <alignment horizontal="right" vertical="top" wrapText="1"/>
    </xf>
    <xf numFmtId="170" fontId="2" fillId="0" borderId="0" xfId="6" applyFont="1" applyAlignment="1">
      <alignment vertical="center" wrapText="1"/>
    </xf>
    <xf numFmtId="170" fontId="5" fillId="0" borderId="0" xfId="6" applyFont="1" applyAlignment="1">
      <alignment horizontal="left" vertical="top" wrapText="1"/>
    </xf>
    <xf numFmtId="170" fontId="2" fillId="0" borderId="0" xfId="6" applyFont="1" applyAlignment="1">
      <alignment horizontal="left" vertical="top" wrapText="1"/>
    </xf>
    <xf numFmtId="170" fontId="4" fillId="0" borderId="0" xfId="6" applyFont="1" applyAlignment="1">
      <alignment horizontal="center" wrapText="1"/>
    </xf>
    <xf numFmtId="0" fontId="2" fillId="0" borderId="0" xfId="2" applyAlignment="1">
      <alignment horizontal="center" vertical="center"/>
    </xf>
  </cellXfs>
  <cellStyles count="8">
    <cellStyle name="Comma" xfId="1" builtinId="3"/>
    <cellStyle name="Comma0 2" xfId="3" xr:uid="{BED20E50-74B3-4096-8718-D522FAF0C4D7}"/>
    <cellStyle name="Currency" xfId="7" builtinId="4"/>
    <cellStyle name="Currency 2" xfId="5" xr:uid="{AFE99CCC-AD94-4602-AF6D-F51BCDBA8302}"/>
    <cellStyle name="Normal" xfId="0" builtinId="0"/>
    <cellStyle name="Normal 2" xfId="2" xr:uid="{4024FE80-992C-428A-9940-5A90CB0F36B1}"/>
    <cellStyle name="Normal 2 2 2" xfId="4" xr:uid="{AA91E8A1-C5EC-4D1A-B605-8849868E0D54}"/>
    <cellStyle name="Normal_Vista BILL SUM1" xfId="6" xr:uid="{C26F0DE0-D648-4DED-996B-A421C7E279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4D4C-5FF2-41E6-BAA7-4AB8FE244FDE}">
  <sheetPr>
    <pageSetUpPr fitToPage="1"/>
  </sheetPr>
  <dimension ref="A1:F34"/>
  <sheetViews>
    <sheetView showGridLines="0" view="pageLayout" zoomScaleNormal="100" zoomScaleSheetLayoutView="85" workbookViewId="0">
      <selection activeCell="E30" sqref="E30"/>
    </sheetView>
  </sheetViews>
  <sheetFormatPr defaultRowHeight="15" x14ac:dyDescent="0.25"/>
  <cols>
    <col min="2" max="2" width="39.42578125" customWidth="1"/>
    <col min="3" max="3" width="6.5703125" customWidth="1"/>
    <col min="4" max="4" width="5.140625" customWidth="1"/>
    <col min="5" max="6" width="14.5703125" customWidth="1"/>
  </cols>
  <sheetData>
    <row r="1" spans="1:6" x14ac:dyDescent="0.25">
      <c r="A1" s="186" t="s">
        <v>43</v>
      </c>
      <c r="B1" s="186"/>
      <c r="C1" s="186"/>
      <c r="D1" s="186"/>
      <c r="E1" s="186"/>
      <c r="F1" s="186"/>
    </row>
    <row r="2" spans="1:6" ht="15.75" thickBot="1" x14ac:dyDescent="0.3">
      <c r="A2" s="40"/>
      <c r="B2" s="41"/>
      <c r="C2" s="40"/>
      <c r="D2" s="187"/>
      <c r="E2" s="187"/>
      <c r="F2" s="187"/>
    </row>
    <row r="3" spans="1:6" ht="15.75" thickBot="1" x14ac:dyDescent="0.3">
      <c r="A3" s="42" t="s">
        <v>11</v>
      </c>
      <c r="B3" s="43" t="s">
        <v>12</v>
      </c>
      <c r="C3" s="44" t="s">
        <v>13</v>
      </c>
      <c r="D3" s="44" t="s">
        <v>14</v>
      </c>
      <c r="E3" s="84" t="s">
        <v>15</v>
      </c>
      <c r="F3" s="146" t="s">
        <v>16</v>
      </c>
    </row>
    <row r="4" spans="1:6" x14ac:dyDescent="0.25">
      <c r="A4" s="45"/>
      <c r="B4" s="46"/>
      <c r="C4" s="47"/>
      <c r="D4" s="47"/>
      <c r="E4" s="74"/>
      <c r="F4" s="101"/>
    </row>
    <row r="5" spans="1:6" x14ac:dyDescent="0.25">
      <c r="A5" s="81">
        <v>1</v>
      </c>
      <c r="B5" s="49" t="s">
        <v>64</v>
      </c>
      <c r="C5" s="16"/>
      <c r="D5" s="16"/>
      <c r="E5" s="76"/>
      <c r="F5" s="77"/>
    </row>
    <row r="6" spans="1:6" x14ac:dyDescent="0.25">
      <c r="A6" s="75"/>
      <c r="B6" s="49"/>
      <c r="C6" s="16"/>
      <c r="D6" s="16"/>
      <c r="E6" s="76"/>
      <c r="F6" s="77"/>
    </row>
    <row r="7" spans="1:6" ht="42.6" customHeight="1" x14ac:dyDescent="0.25">
      <c r="A7" s="48" t="str">
        <f>A$5&amp;"."&amp;COUNTA(B$7:B7)</f>
        <v>1.1</v>
      </c>
      <c r="B7" s="39" t="s">
        <v>65</v>
      </c>
      <c r="C7" s="16" t="s">
        <v>21</v>
      </c>
      <c r="D7" s="16">
        <v>1</v>
      </c>
      <c r="E7" s="76"/>
      <c r="F7" s="77">
        <f>E7*D7</f>
        <v>0</v>
      </c>
    </row>
    <row r="8" spans="1:6" x14ac:dyDescent="0.25">
      <c r="A8" s="51"/>
      <c r="B8" s="39"/>
      <c r="C8" s="16"/>
      <c r="D8" s="16"/>
      <c r="E8" s="76"/>
      <c r="F8" s="77"/>
    </row>
    <row r="9" spans="1:6" x14ac:dyDescent="0.25">
      <c r="A9" s="48" t="str">
        <f>A$5&amp;"."&amp;COUNTA(B$7:B9)</f>
        <v>1.2</v>
      </c>
      <c r="B9" s="39" t="s">
        <v>36</v>
      </c>
      <c r="C9" s="16" t="s">
        <v>21</v>
      </c>
      <c r="D9" s="16">
        <v>1</v>
      </c>
      <c r="E9" s="76"/>
      <c r="F9" s="77">
        <f>E9*D9</f>
        <v>0</v>
      </c>
    </row>
    <row r="10" spans="1:6" x14ac:dyDescent="0.25">
      <c r="A10" s="51"/>
      <c r="B10" s="39"/>
      <c r="C10" s="16"/>
      <c r="D10" s="16"/>
      <c r="E10" s="76"/>
      <c r="F10" s="77"/>
    </row>
    <row r="11" spans="1:6" x14ac:dyDescent="0.25">
      <c r="A11" s="48" t="str">
        <f>A$5&amp;"."&amp;COUNTA(B$7:B11)</f>
        <v>1.3</v>
      </c>
      <c r="B11" s="78" t="s">
        <v>35</v>
      </c>
      <c r="C11" s="16" t="s">
        <v>21</v>
      </c>
      <c r="D11" s="16">
        <v>1</v>
      </c>
      <c r="E11" s="76"/>
      <c r="F11" s="77">
        <f>E11*D11</f>
        <v>0</v>
      </c>
    </row>
    <row r="12" spans="1:6" x14ac:dyDescent="0.25">
      <c r="A12" s="48"/>
      <c r="B12" s="39" t="s">
        <v>17</v>
      </c>
      <c r="C12" s="16"/>
      <c r="D12" s="16"/>
      <c r="E12" s="76"/>
      <c r="F12" s="77"/>
    </row>
    <row r="13" spans="1:6" ht="25.5" x14ac:dyDescent="0.25">
      <c r="A13" s="48" t="str">
        <f>A$5&amp;"."&amp;COUNTA(B$7:B13)</f>
        <v>1.5</v>
      </c>
      <c r="B13" s="39" t="s">
        <v>37</v>
      </c>
      <c r="C13" s="16" t="s">
        <v>21</v>
      </c>
      <c r="D13" s="16">
        <v>1</v>
      </c>
      <c r="E13" s="76"/>
      <c r="F13" s="77">
        <f>E13*D13</f>
        <v>0</v>
      </c>
    </row>
    <row r="14" spans="1:6" x14ac:dyDescent="0.25">
      <c r="A14" s="51"/>
      <c r="B14" s="39"/>
      <c r="C14" s="16"/>
      <c r="D14" s="16"/>
      <c r="E14" s="76"/>
      <c r="F14" s="77"/>
    </row>
    <row r="15" spans="1:6" ht="63.75" x14ac:dyDescent="0.25">
      <c r="A15" s="48" t="str">
        <f>A$5&amp;"."&amp;COUNTA(B$7:B15)</f>
        <v>1.6</v>
      </c>
      <c r="B15" s="39" t="s">
        <v>34</v>
      </c>
      <c r="C15" s="16" t="s">
        <v>21</v>
      </c>
      <c r="D15" s="16">
        <v>1</v>
      </c>
      <c r="E15" s="76"/>
      <c r="F15" s="77">
        <f>E15*D15</f>
        <v>0</v>
      </c>
    </row>
    <row r="16" spans="1:6" x14ac:dyDescent="0.25">
      <c r="A16" s="48"/>
      <c r="B16" s="39"/>
      <c r="C16" s="16"/>
      <c r="D16" s="16"/>
      <c r="E16" s="76"/>
      <c r="F16" s="77"/>
    </row>
    <row r="17" spans="1:6" x14ac:dyDescent="0.25">
      <c r="A17" s="48" t="str">
        <f>A$5&amp;"."&amp;COUNTA(B$7:B17)</f>
        <v>1.7</v>
      </c>
      <c r="B17" s="39" t="s">
        <v>44</v>
      </c>
      <c r="C17" s="16" t="s">
        <v>21</v>
      </c>
      <c r="D17" s="16">
        <v>1</v>
      </c>
      <c r="E17" s="76"/>
      <c r="F17" s="77">
        <f>E17*D17</f>
        <v>0</v>
      </c>
    </row>
    <row r="18" spans="1:6" x14ac:dyDescent="0.25">
      <c r="A18" s="48"/>
      <c r="B18" s="39"/>
      <c r="C18" s="16"/>
      <c r="D18" s="16"/>
      <c r="E18" s="76"/>
      <c r="F18" s="77"/>
    </row>
    <row r="19" spans="1:6" ht="51" x14ac:dyDescent="0.25">
      <c r="A19" s="48" t="str">
        <f>A$5&amp;"."&amp;COUNTA(B$7:B19)</f>
        <v>1.8</v>
      </c>
      <c r="B19" s="39" t="s">
        <v>38</v>
      </c>
      <c r="C19" s="16" t="s">
        <v>21</v>
      </c>
      <c r="D19" s="16">
        <v>1</v>
      </c>
      <c r="E19" s="76"/>
      <c r="F19" s="77">
        <f>E19*D19</f>
        <v>0</v>
      </c>
    </row>
    <row r="20" spans="1:6" x14ac:dyDescent="0.25">
      <c r="A20" s="51"/>
      <c r="B20" s="39"/>
      <c r="C20" s="16"/>
      <c r="D20" s="16"/>
      <c r="E20" s="76"/>
      <c r="F20" s="77"/>
    </row>
    <row r="21" spans="1:6" ht="63.75" x14ac:dyDescent="0.25">
      <c r="A21" s="48" t="str">
        <f>A$5&amp;"."&amp;COUNTA(B$7:B21)</f>
        <v>1.9</v>
      </c>
      <c r="B21" s="39" t="s">
        <v>39</v>
      </c>
      <c r="C21" s="16" t="s">
        <v>21</v>
      </c>
      <c r="D21" s="16">
        <v>1</v>
      </c>
      <c r="E21" s="76"/>
      <c r="F21" s="77">
        <f>E21*D21</f>
        <v>0</v>
      </c>
    </row>
    <row r="22" spans="1:6" x14ac:dyDescent="0.25">
      <c r="A22" s="48"/>
      <c r="B22" s="39"/>
      <c r="C22" s="16"/>
      <c r="D22" s="16"/>
      <c r="E22" s="76"/>
      <c r="F22" s="77"/>
    </row>
    <row r="23" spans="1:6" x14ac:dyDescent="0.25">
      <c r="A23" s="48" t="str">
        <f>A$5&amp;"."&amp;COUNTA(B$7:B23)</f>
        <v>1.10</v>
      </c>
      <c r="B23" s="39" t="s">
        <v>41</v>
      </c>
      <c r="C23" s="16" t="s">
        <v>21</v>
      </c>
      <c r="D23" s="16">
        <v>1</v>
      </c>
      <c r="E23" s="76"/>
      <c r="F23" s="77">
        <f>E23*D23</f>
        <v>0</v>
      </c>
    </row>
    <row r="24" spans="1:6" x14ac:dyDescent="0.25">
      <c r="A24" s="48"/>
      <c r="B24" s="39"/>
      <c r="C24" s="16"/>
      <c r="D24" s="16"/>
      <c r="E24" s="76"/>
      <c r="F24" s="77"/>
    </row>
    <row r="25" spans="1:6" ht="25.5" x14ac:dyDescent="0.25">
      <c r="A25" s="48" t="str">
        <f>A$5&amp;"."&amp;COUNTA(B$7:B25)</f>
        <v>1.11</v>
      </c>
      <c r="B25" s="39" t="s">
        <v>40</v>
      </c>
      <c r="C25" s="16" t="s">
        <v>21</v>
      </c>
      <c r="D25" s="16">
        <v>1</v>
      </c>
      <c r="E25" s="76"/>
      <c r="F25" s="77">
        <f>E25*D25</f>
        <v>0</v>
      </c>
    </row>
    <row r="26" spans="1:6" x14ac:dyDescent="0.25">
      <c r="A26" s="145"/>
      <c r="B26" s="39" t="s">
        <v>17</v>
      </c>
      <c r="C26" s="16" t="s">
        <v>17</v>
      </c>
      <c r="D26" s="16" t="s">
        <v>17</v>
      </c>
      <c r="E26" s="76"/>
      <c r="F26" s="77"/>
    </row>
    <row r="27" spans="1:6" ht="38.25" x14ac:dyDescent="0.25">
      <c r="A27" s="48" t="str">
        <f>A$5&amp;"."&amp;COUNTA(B$7:B27)</f>
        <v>1.13</v>
      </c>
      <c r="B27" s="39" t="s">
        <v>42</v>
      </c>
      <c r="C27" s="16" t="s">
        <v>21</v>
      </c>
      <c r="D27" s="16">
        <v>1</v>
      </c>
      <c r="E27" s="76"/>
      <c r="F27" s="77">
        <f>E27*D27</f>
        <v>0</v>
      </c>
    </row>
    <row r="28" spans="1:6" x14ac:dyDescent="0.25">
      <c r="A28" s="145"/>
      <c r="B28" s="39"/>
      <c r="C28" s="3"/>
      <c r="D28" s="16"/>
      <c r="E28" s="147"/>
      <c r="F28" s="77"/>
    </row>
    <row r="29" spans="1:6" x14ac:dyDescent="0.25">
      <c r="A29" s="48" t="str">
        <f>A$5&amp;"."&amp;COUNTA(B$7:B29)</f>
        <v>1.14</v>
      </c>
      <c r="B29" s="39" t="s">
        <v>22</v>
      </c>
      <c r="C29" s="16" t="s">
        <v>21</v>
      </c>
      <c r="D29" s="16">
        <v>1</v>
      </c>
      <c r="E29" s="76"/>
      <c r="F29" s="77">
        <f>E29*D29</f>
        <v>0</v>
      </c>
    </row>
    <row r="30" spans="1:6" x14ac:dyDescent="0.25">
      <c r="A30" s="48"/>
      <c r="B30" s="39"/>
      <c r="C30" s="16"/>
      <c r="D30" s="16"/>
      <c r="E30" s="76"/>
      <c r="F30" s="77"/>
    </row>
    <row r="31" spans="1:6" ht="15.75" thickBot="1" x14ac:dyDescent="0.3">
      <c r="A31" s="48"/>
      <c r="B31" s="49"/>
      <c r="C31" s="16"/>
      <c r="D31" s="16"/>
      <c r="E31" s="76"/>
      <c r="F31" s="77"/>
    </row>
    <row r="32" spans="1:6" x14ac:dyDescent="0.25">
      <c r="A32" s="52"/>
      <c r="B32" s="188"/>
      <c r="C32" s="189"/>
      <c r="D32" s="189"/>
      <c r="E32" s="190"/>
      <c r="F32" s="79"/>
    </row>
    <row r="33" spans="1:6" ht="30" customHeight="1" x14ac:dyDescent="0.25">
      <c r="A33" s="53"/>
      <c r="B33" s="191" t="s">
        <v>45</v>
      </c>
      <c r="C33" s="192"/>
      <c r="D33" s="192"/>
      <c r="E33" s="193"/>
      <c r="F33" s="82">
        <f>SUM(F5:F31)</f>
        <v>0</v>
      </c>
    </row>
    <row r="34" spans="1:6" ht="15.75" thickBot="1" x14ac:dyDescent="0.3">
      <c r="A34" s="54"/>
      <c r="B34" s="183"/>
      <c r="C34" s="184"/>
      <c r="D34" s="184"/>
      <c r="E34" s="185"/>
      <c r="F34" s="80"/>
    </row>
  </sheetData>
  <mergeCells count="5">
    <mergeCell ref="B34:E34"/>
    <mergeCell ref="A1:F1"/>
    <mergeCell ref="D2:F2"/>
    <mergeCell ref="B32:E32"/>
    <mergeCell ref="B33:E33"/>
  </mergeCells>
  <pageMargins left="0.70866141732283472" right="0.70866141732283472" top="0.74803149606299213" bottom="0.74803149606299213" header="0.31496062992125984" footer="0.31496062992125984"/>
  <pageSetup paperSize="9" scale="97" orientation="portrait" useFirstPageNumber="1" r:id="rId1"/>
  <headerFooter>
    <oddHeader xml:space="preserve">&amp;L&amp;"Arial,Regular"&amp;9FORT HARE UNIVERSITY
FINANCE OFFICES - HVAC INSTALLATION
</oddHeader>
    <oddFooter xml:space="preserve">&amp;L&amp;"Arial,Regular"&amp;9UNIVERSITY OF FORT HARE FINANCIAL OFFICE - HVAC UPGRADE&amp;R&amp;"Arial,Regular"&amp;9Page 6.&amp;P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02418-1A43-4A79-9212-A9B5E9EC03A8}">
  <dimension ref="A1:O1415"/>
  <sheetViews>
    <sheetView showGridLines="0" tabSelected="1" view="pageLayout" topLeftCell="A191" zoomScaleNormal="130" zoomScaleSheetLayoutView="110" workbookViewId="0">
      <selection activeCell="A199" sqref="A199:XFD199"/>
    </sheetView>
  </sheetViews>
  <sheetFormatPr defaultColWidth="5.7109375" defaultRowHeight="14.25" x14ac:dyDescent="0.25"/>
  <cols>
    <col min="1" max="1" width="9.140625" style="1" customWidth="1"/>
    <col min="2" max="2" width="39.42578125" style="4" customWidth="1"/>
    <col min="3" max="3" width="6.5703125" style="1" customWidth="1"/>
    <col min="4" max="4" width="5.140625" style="3" customWidth="1"/>
    <col min="5" max="5" width="14.5703125" style="2" customWidth="1"/>
    <col min="6" max="6" width="14.5703125" style="117" customWidth="1"/>
    <col min="7" max="16384" width="5.7109375" style="1"/>
  </cols>
  <sheetData>
    <row r="1" spans="1:6" ht="12.75" x14ac:dyDescent="0.25">
      <c r="A1" s="28" t="s">
        <v>61</v>
      </c>
      <c r="B1" s="14"/>
      <c r="C1" s="14"/>
      <c r="D1" s="13"/>
      <c r="E1" s="13"/>
      <c r="F1" s="106"/>
    </row>
    <row r="2" spans="1:6" ht="13.5" thickBot="1" x14ac:dyDescent="0.3">
      <c r="A2" s="27"/>
      <c r="B2" s="26"/>
      <c r="C2" s="14"/>
      <c r="D2" s="13"/>
      <c r="E2" s="13"/>
      <c r="F2" s="106"/>
    </row>
    <row r="3" spans="1:6" s="5" customFormat="1" ht="13.5" thickBot="1" x14ac:dyDescent="0.3">
      <c r="A3" s="42" t="s">
        <v>11</v>
      </c>
      <c r="B3" s="43" t="s">
        <v>12</v>
      </c>
      <c r="C3" s="44" t="s">
        <v>13</v>
      </c>
      <c r="D3" s="44" t="s">
        <v>14</v>
      </c>
      <c r="E3" s="84" t="s">
        <v>15</v>
      </c>
      <c r="F3" s="107" t="s">
        <v>16</v>
      </c>
    </row>
    <row r="4" spans="1:6" s="5" customFormat="1" ht="12.75" x14ac:dyDescent="0.25">
      <c r="A4" s="85"/>
      <c r="B4" s="83"/>
      <c r="C4" s="86"/>
      <c r="D4" s="86"/>
      <c r="E4" s="87"/>
      <c r="F4" s="108"/>
    </row>
    <row r="5" spans="1:6" s="5" customFormat="1" ht="12.75" x14ac:dyDescent="0.25">
      <c r="A5" s="88">
        <v>2.1</v>
      </c>
      <c r="B5" s="29" t="s">
        <v>73</v>
      </c>
      <c r="C5" s="47"/>
      <c r="D5" s="47"/>
      <c r="E5" s="74"/>
      <c r="F5" s="153"/>
    </row>
    <row r="6" spans="1:6" s="5" customFormat="1" ht="12.75" x14ac:dyDescent="0.25">
      <c r="A6" s="152"/>
      <c r="B6" s="46"/>
      <c r="C6" s="47"/>
      <c r="D6" s="47"/>
      <c r="E6" s="74"/>
      <c r="F6" s="153"/>
    </row>
    <row r="7" spans="1:6" s="5" customFormat="1" ht="25.5" x14ac:dyDescent="0.25">
      <c r="A7" s="152"/>
      <c r="B7" s="154" t="s">
        <v>71</v>
      </c>
      <c r="C7" s="47"/>
      <c r="D7" s="47"/>
      <c r="E7" s="74"/>
      <c r="F7" s="153"/>
    </row>
    <row r="8" spans="1:6" s="5" customFormat="1" ht="12.75" x14ac:dyDescent="0.25">
      <c r="A8" s="152"/>
      <c r="B8" s="46"/>
      <c r="C8" s="47"/>
      <c r="D8" s="47"/>
      <c r="E8" s="74"/>
      <c r="F8" s="153"/>
    </row>
    <row r="9" spans="1:6" s="5" customFormat="1" ht="25.5" x14ac:dyDescent="0.25">
      <c r="A9" s="88" t="s">
        <v>53</v>
      </c>
      <c r="B9" s="30" t="s">
        <v>72</v>
      </c>
      <c r="C9" s="47"/>
      <c r="D9" s="47"/>
      <c r="E9" s="74"/>
      <c r="F9" s="153"/>
    </row>
    <row r="10" spans="1:6" s="5" customFormat="1" ht="12.75" x14ac:dyDescent="0.25">
      <c r="A10" s="152"/>
      <c r="B10" s="46"/>
      <c r="C10" s="47"/>
      <c r="D10" s="47"/>
      <c r="E10" s="74"/>
      <c r="F10" s="153"/>
    </row>
    <row r="11" spans="1:6" s="5" customFormat="1" x14ac:dyDescent="0.25">
      <c r="A11" s="93" t="str">
        <f>A$9&amp;"."&amp;COUNTA(C11:C$11)</f>
        <v>2.1.1.1</v>
      </c>
      <c r="B11" s="30" t="s">
        <v>85</v>
      </c>
      <c r="C11" s="18" t="s">
        <v>2</v>
      </c>
      <c r="D11" s="18">
        <v>1</v>
      </c>
      <c r="E11" s="74"/>
      <c r="F11" s="110">
        <f>$E11*D11</f>
        <v>0</v>
      </c>
    </row>
    <row r="12" spans="1:6" s="5" customFormat="1" ht="12.75" x14ac:dyDescent="0.25">
      <c r="A12" s="152"/>
      <c r="B12" s="46"/>
      <c r="C12" s="47"/>
      <c r="D12" s="47"/>
      <c r="E12" s="74"/>
      <c r="F12" s="153"/>
    </row>
    <row r="13" spans="1:6" s="5" customFormat="1" x14ac:dyDescent="0.25">
      <c r="A13" s="93" t="str">
        <f>A$9&amp;"."&amp;COUNTA(C$11:C13)</f>
        <v>2.1.1.2</v>
      </c>
      <c r="B13" s="30" t="s">
        <v>75</v>
      </c>
      <c r="C13" s="18" t="s">
        <v>2</v>
      </c>
      <c r="D13" s="18">
        <v>2</v>
      </c>
      <c r="E13" s="74"/>
      <c r="F13" s="110">
        <f>$E13*D13</f>
        <v>0</v>
      </c>
    </row>
    <row r="14" spans="1:6" s="5" customFormat="1" ht="12.75" x14ac:dyDescent="0.25">
      <c r="A14" s="152"/>
      <c r="B14" s="46"/>
      <c r="C14" s="47"/>
      <c r="D14" s="47"/>
      <c r="E14" s="74"/>
      <c r="F14" s="153"/>
    </row>
    <row r="15" spans="1:6" s="5" customFormat="1" x14ac:dyDescent="0.25">
      <c r="A15" s="93" t="str">
        <f>A$9&amp;"."&amp;COUNTA(C$11:C15)</f>
        <v>2.1.1.3</v>
      </c>
      <c r="B15" s="30" t="s">
        <v>76</v>
      </c>
      <c r="C15" s="18" t="s">
        <v>0</v>
      </c>
      <c r="D15" s="18">
        <v>1</v>
      </c>
      <c r="E15" s="74"/>
      <c r="F15" s="110">
        <f>$E15*D15</f>
        <v>0</v>
      </c>
    </row>
    <row r="16" spans="1:6" s="5" customFormat="1" ht="12.75" x14ac:dyDescent="0.25">
      <c r="A16" s="152"/>
      <c r="B16" s="46"/>
      <c r="C16" s="47"/>
      <c r="D16" s="47"/>
      <c r="E16" s="74"/>
      <c r="F16" s="153"/>
    </row>
    <row r="17" spans="1:6" s="5" customFormat="1" x14ac:dyDescent="0.25">
      <c r="A17" s="93" t="str">
        <f>A$9&amp;"."&amp;COUNTA(C$11:C17)</f>
        <v>2.1.1.4</v>
      </c>
      <c r="B17" s="30" t="s">
        <v>77</v>
      </c>
      <c r="C17" s="17" t="s">
        <v>2</v>
      </c>
      <c r="D17" s="17">
        <v>1</v>
      </c>
      <c r="E17" s="74"/>
      <c r="F17" s="110">
        <f>$E17*D17</f>
        <v>0</v>
      </c>
    </row>
    <row r="18" spans="1:6" s="5" customFormat="1" ht="12.75" x14ac:dyDescent="0.25">
      <c r="A18" s="152"/>
      <c r="B18" s="30"/>
      <c r="C18" s="17"/>
      <c r="D18" s="17"/>
      <c r="E18" s="74"/>
      <c r="F18" s="153"/>
    </row>
    <row r="19" spans="1:6" s="5" customFormat="1" x14ac:dyDescent="0.25">
      <c r="A19" s="93" t="str">
        <f>A$9&amp;"."&amp;COUNTA(C$11:C19)</f>
        <v>2.1.1.5</v>
      </c>
      <c r="B19" s="30" t="s">
        <v>78</v>
      </c>
      <c r="C19" s="18" t="s">
        <v>0</v>
      </c>
      <c r="D19" s="17">
        <v>1</v>
      </c>
      <c r="E19" s="74"/>
      <c r="F19" s="110">
        <f>$E19*D19</f>
        <v>0</v>
      </c>
    </row>
    <row r="20" spans="1:6" s="5" customFormat="1" ht="12.75" x14ac:dyDescent="0.25">
      <c r="A20" s="152"/>
      <c r="B20" s="46"/>
      <c r="C20" s="47"/>
      <c r="D20" s="47"/>
      <c r="E20" s="74"/>
      <c r="F20" s="153"/>
    </row>
    <row r="21" spans="1:6" s="5" customFormat="1" ht="25.5" x14ac:dyDescent="0.25">
      <c r="A21" s="88" t="s">
        <v>54</v>
      </c>
      <c r="B21" s="30" t="s">
        <v>79</v>
      </c>
      <c r="C21" s="47"/>
      <c r="D21" s="47"/>
      <c r="E21" s="74"/>
      <c r="F21" s="153"/>
    </row>
    <row r="22" spans="1:6" s="5" customFormat="1" ht="12.75" x14ac:dyDescent="0.25">
      <c r="A22" s="152"/>
      <c r="B22" s="46"/>
      <c r="C22" s="47"/>
      <c r="D22" s="47"/>
      <c r="E22" s="74"/>
      <c r="F22" s="153"/>
    </row>
    <row r="23" spans="1:6" s="5" customFormat="1" x14ac:dyDescent="0.25">
      <c r="A23" s="93" t="str">
        <f>A$21&amp;"."&amp;COUNTA(C$21:C23)</f>
        <v>2.1.2.1</v>
      </c>
      <c r="B23" s="30" t="s">
        <v>86</v>
      </c>
      <c r="C23" s="18" t="s">
        <v>2</v>
      </c>
      <c r="D23" s="18">
        <v>1</v>
      </c>
      <c r="E23" s="74"/>
      <c r="F23" s="110">
        <f>$E23*D23</f>
        <v>0</v>
      </c>
    </row>
    <row r="24" spans="1:6" s="5" customFormat="1" ht="12.75" x14ac:dyDescent="0.25">
      <c r="A24" s="152"/>
      <c r="B24" s="46"/>
      <c r="C24" s="47"/>
      <c r="D24" s="47"/>
      <c r="E24" s="74"/>
      <c r="F24" s="153"/>
    </row>
    <row r="25" spans="1:6" s="5" customFormat="1" x14ac:dyDescent="0.25">
      <c r="A25" s="93" t="str">
        <f>A$21&amp;"."&amp;COUNTA(C$21:C25)</f>
        <v>2.1.2.2</v>
      </c>
      <c r="B25" s="30" t="s">
        <v>75</v>
      </c>
      <c r="C25" s="18" t="s">
        <v>2</v>
      </c>
      <c r="D25" s="18">
        <v>2</v>
      </c>
      <c r="E25" s="74"/>
      <c r="F25" s="110">
        <f>$E25*D25</f>
        <v>0</v>
      </c>
    </row>
    <row r="26" spans="1:6" s="5" customFormat="1" ht="12.75" x14ac:dyDescent="0.25">
      <c r="A26" s="152"/>
      <c r="B26" s="46"/>
      <c r="C26" s="47"/>
      <c r="D26" s="47"/>
      <c r="E26" s="74"/>
      <c r="F26" s="153"/>
    </row>
    <row r="27" spans="1:6" s="5" customFormat="1" x14ac:dyDescent="0.25">
      <c r="A27" s="93" t="str">
        <f>A$21&amp;"."&amp;COUNTA(C$21:C27)</f>
        <v>2.1.2.3</v>
      </c>
      <c r="B27" s="30" t="s">
        <v>76</v>
      </c>
      <c r="C27" s="18" t="s">
        <v>0</v>
      </c>
      <c r="D27" s="18">
        <v>1</v>
      </c>
      <c r="E27" s="74"/>
      <c r="F27" s="110">
        <f>$E27*D27</f>
        <v>0</v>
      </c>
    </row>
    <row r="28" spans="1:6" s="5" customFormat="1" ht="12.75" x14ac:dyDescent="0.25">
      <c r="A28" s="152"/>
      <c r="B28" s="46"/>
      <c r="C28" s="47"/>
      <c r="D28" s="47"/>
      <c r="E28" s="74"/>
      <c r="F28" s="153"/>
    </row>
    <row r="29" spans="1:6" s="5" customFormat="1" x14ac:dyDescent="0.25">
      <c r="A29" s="93" t="str">
        <f>A$21&amp;"."&amp;COUNTA(C$21:C29)</f>
        <v>2.1.2.4</v>
      </c>
      <c r="B29" s="30" t="s">
        <v>77</v>
      </c>
      <c r="C29" s="17" t="s">
        <v>2</v>
      </c>
      <c r="D29" s="17">
        <v>1</v>
      </c>
      <c r="E29" s="74"/>
      <c r="F29" s="110">
        <f>$E29*D29</f>
        <v>0</v>
      </c>
    </row>
    <row r="30" spans="1:6" s="5" customFormat="1" ht="12.75" x14ac:dyDescent="0.25">
      <c r="A30" s="152"/>
      <c r="B30" s="30"/>
      <c r="C30" s="17"/>
      <c r="D30" s="17"/>
      <c r="E30" s="74"/>
      <c r="F30" s="153"/>
    </row>
    <row r="31" spans="1:6" s="5" customFormat="1" x14ac:dyDescent="0.25">
      <c r="A31" s="93" t="str">
        <f>A$21&amp;"."&amp;COUNTA(C$21:C31)</f>
        <v>2.1.2.5</v>
      </c>
      <c r="B31" s="30" t="s">
        <v>78</v>
      </c>
      <c r="C31" s="18" t="s">
        <v>0</v>
      </c>
      <c r="D31" s="17">
        <v>1</v>
      </c>
      <c r="E31" s="74"/>
      <c r="F31" s="110">
        <f>$E31*D31</f>
        <v>0</v>
      </c>
    </row>
    <row r="32" spans="1:6" s="5" customFormat="1" ht="12.75" x14ac:dyDescent="0.25">
      <c r="A32" s="152"/>
      <c r="B32" s="46"/>
      <c r="C32" s="47"/>
      <c r="D32" s="47"/>
      <c r="E32" s="74"/>
      <c r="F32" s="153"/>
    </row>
    <row r="33" spans="1:6" s="5" customFormat="1" ht="12.75" x14ac:dyDescent="0.25">
      <c r="A33" s="88">
        <v>2.2000000000000002</v>
      </c>
      <c r="B33" s="29" t="s">
        <v>80</v>
      </c>
      <c r="C33" s="47"/>
      <c r="D33" s="47"/>
      <c r="E33" s="74"/>
      <c r="F33" s="153"/>
    </row>
    <row r="34" spans="1:6" s="5" customFormat="1" ht="12.75" x14ac:dyDescent="0.25">
      <c r="A34" s="152"/>
      <c r="B34" s="46"/>
      <c r="C34" s="47"/>
      <c r="D34" s="47"/>
      <c r="E34" s="74"/>
      <c r="F34" s="153"/>
    </row>
    <row r="35" spans="1:6" s="5" customFormat="1" ht="25.5" x14ac:dyDescent="0.25">
      <c r="A35" s="152"/>
      <c r="B35" s="154" t="s">
        <v>71</v>
      </c>
      <c r="C35" s="47"/>
      <c r="D35" s="47"/>
      <c r="E35" s="74"/>
      <c r="F35" s="153"/>
    </row>
    <row r="36" spans="1:6" s="5" customFormat="1" ht="12.75" x14ac:dyDescent="0.25">
      <c r="A36" s="152"/>
      <c r="B36" s="46"/>
      <c r="C36" s="47"/>
      <c r="D36" s="47"/>
      <c r="E36" s="74"/>
      <c r="F36" s="153"/>
    </row>
    <row r="37" spans="1:6" s="5" customFormat="1" ht="25.5" x14ac:dyDescent="0.25">
      <c r="A37" s="88" t="s">
        <v>74</v>
      </c>
      <c r="B37" s="155" t="s">
        <v>81</v>
      </c>
      <c r="C37" s="19"/>
      <c r="D37" s="19"/>
      <c r="E37" s="19"/>
      <c r="F37" s="109"/>
    </row>
    <row r="38" spans="1:6" s="5" customFormat="1" ht="12.75" x14ac:dyDescent="0.25">
      <c r="A38" s="88"/>
      <c r="B38" s="31"/>
      <c r="C38" s="140"/>
      <c r="D38" s="19"/>
      <c r="E38" s="19"/>
      <c r="F38" s="109"/>
    </row>
    <row r="39" spans="1:6" s="5" customFormat="1" x14ac:dyDescent="0.25">
      <c r="A39" s="93"/>
      <c r="B39" s="165" t="s">
        <v>83</v>
      </c>
      <c r="C39" s="17"/>
      <c r="D39" s="17"/>
      <c r="E39" s="23"/>
      <c r="F39" s="110"/>
    </row>
    <row r="40" spans="1:6" s="5" customFormat="1" ht="12.75" x14ac:dyDescent="0.25">
      <c r="A40" s="88"/>
      <c r="B40" s="30"/>
      <c r="C40" s="19"/>
      <c r="D40" s="19"/>
      <c r="E40" s="19"/>
      <c r="F40" s="109"/>
    </row>
    <row r="41" spans="1:6" s="5" customFormat="1" ht="25.5" x14ac:dyDescent="0.25">
      <c r="A41" s="93" t="str">
        <f>A$37&amp;"."&amp;COUNTA(C$37:C41)</f>
        <v>2.2.1.1</v>
      </c>
      <c r="B41" s="30" t="s">
        <v>84</v>
      </c>
      <c r="C41" s="17" t="s">
        <v>2</v>
      </c>
      <c r="D41" s="17">
        <v>1</v>
      </c>
      <c r="E41" s="23"/>
      <c r="F41" s="110">
        <f t="shared" ref="F41" si="0">E41*D41</f>
        <v>0</v>
      </c>
    </row>
    <row r="42" spans="1:6" s="5" customFormat="1" ht="12.75" x14ac:dyDescent="0.25">
      <c r="A42" s="88"/>
      <c r="B42" s="30"/>
      <c r="C42" s="19"/>
      <c r="D42" s="19"/>
      <c r="E42" s="19"/>
      <c r="F42" s="109"/>
    </row>
    <row r="43" spans="1:6" s="5" customFormat="1" ht="25.5" x14ac:dyDescent="0.25">
      <c r="A43" s="93" t="str">
        <f>A$37&amp;"."&amp;COUNTA(C$37:C43)</f>
        <v>2.2.1.2</v>
      </c>
      <c r="B43" s="30" t="s">
        <v>105</v>
      </c>
      <c r="C43" s="17" t="s">
        <v>2</v>
      </c>
      <c r="D43" s="17">
        <v>3</v>
      </c>
      <c r="E43" s="23"/>
      <c r="F43" s="110">
        <f t="shared" ref="F43" si="1">E43*D43</f>
        <v>0</v>
      </c>
    </row>
    <row r="44" spans="1:6" s="5" customFormat="1" ht="12.75" x14ac:dyDescent="0.25">
      <c r="A44" s="88"/>
      <c r="B44" s="30"/>
      <c r="C44" s="19"/>
      <c r="D44" s="19"/>
      <c r="E44" s="19"/>
      <c r="F44" s="109"/>
    </row>
    <row r="45" spans="1:6" s="5" customFormat="1" ht="25.5" x14ac:dyDescent="0.25">
      <c r="A45" s="93" t="str">
        <f>A$37&amp;"."&amp;COUNTA(C$37:C45)</f>
        <v>2.2.1.3</v>
      </c>
      <c r="B45" s="30" t="s">
        <v>104</v>
      </c>
      <c r="C45" s="17" t="s">
        <v>2</v>
      </c>
      <c r="D45" s="17">
        <v>1</v>
      </c>
      <c r="E45" s="23"/>
      <c r="F45" s="110">
        <f t="shared" ref="F45" si="2">E45*D45</f>
        <v>0</v>
      </c>
    </row>
    <row r="46" spans="1:6" s="5" customFormat="1" x14ac:dyDescent="0.25">
      <c r="A46" s="92"/>
      <c r="B46" s="30"/>
      <c r="C46" s="17"/>
      <c r="D46" s="17"/>
      <c r="E46" s="23"/>
      <c r="F46" s="111"/>
    </row>
    <row r="47" spans="1:6" s="5" customFormat="1" ht="25.5" x14ac:dyDescent="0.25">
      <c r="A47" s="93" t="str">
        <f>A$37&amp;"."&amp;COUNTA(C$37:C47)</f>
        <v>2.2.1.4</v>
      </c>
      <c r="B47" s="30" t="s">
        <v>106</v>
      </c>
      <c r="C47" s="17" t="s">
        <v>2</v>
      </c>
      <c r="D47" s="17">
        <v>1</v>
      </c>
      <c r="E47" s="23"/>
      <c r="F47" s="110">
        <f t="shared" ref="F47" si="3">E47*D47</f>
        <v>0</v>
      </c>
    </row>
    <row r="48" spans="1:6" s="5" customFormat="1" x14ac:dyDescent="0.25">
      <c r="A48" s="92"/>
      <c r="B48" s="30"/>
      <c r="C48" s="17"/>
      <c r="D48" s="17"/>
      <c r="E48" s="23"/>
      <c r="F48" s="111"/>
    </row>
    <row r="49" spans="1:6" s="5" customFormat="1" ht="12.75" x14ac:dyDescent="0.25">
      <c r="A49" s="88"/>
      <c r="B49" s="30"/>
      <c r="C49" s="19"/>
      <c r="D49" s="19"/>
      <c r="E49" s="19"/>
      <c r="F49" s="109"/>
    </row>
    <row r="50" spans="1:6" s="5" customFormat="1" x14ac:dyDescent="0.25">
      <c r="A50" s="98"/>
      <c r="B50" s="102" t="s">
        <v>23</v>
      </c>
      <c r="C50" s="99"/>
      <c r="D50" s="99"/>
      <c r="E50" s="100"/>
      <c r="F50" s="112">
        <f>SUBTOTAL(9,F$4:F49)</f>
        <v>0</v>
      </c>
    </row>
    <row r="51" spans="1:6" s="5" customFormat="1" x14ac:dyDescent="0.25">
      <c r="A51" s="89"/>
      <c r="B51" s="103" t="s">
        <v>24</v>
      </c>
      <c r="C51" s="18"/>
      <c r="D51" s="18"/>
      <c r="E51" s="23"/>
      <c r="F51" s="112">
        <f>SUBTOTAL(9,F$4:F50)</f>
        <v>0</v>
      </c>
    </row>
    <row r="52" spans="1:6" s="5" customFormat="1" ht="12.75" x14ac:dyDescent="0.25">
      <c r="A52" s="88"/>
      <c r="B52" s="30"/>
      <c r="C52" s="19"/>
      <c r="D52" s="19"/>
      <c r="E52" s="19"/>
      <c r="F52" s="109"/>
    </row>
    <row r="53" spans="1:6" s="5" customFormat="1" ht="25.5" x14ac:dyDescent="0.25">
      <c r="A53" s="93" t="str">
        <f>A$37&amp;"."&amp;COUNTA(C$37:C53)</f>
        <v>2.2.1.5</v>
      </c>
      <c r="B53" s="30" t="s">
        <v>103</v>
      </c>
      <c r="C53" s="17" t="s">
        <v>2</v>
      </c>
      <c r="D53" s="17">
        <v>5</v>
      </c>
      <c r="E53" s="23"/>
      <c r="F53" s="110">
        <f t="shared" ref="F53" si="4">E53*D53</f>
        <v>0</v>
      </c>
    </row>
    <row r="54" spans="1:6" s="5" customFormat="1" ht="12.75" x14ac:dyDescent="0.25">
      <c r="A54" s="88"/>
      <c r="B54" s="30"/>
      <c r="C54" s="19"/>
      <c r="D54" s="19"/>
      <c r="E54" s="19"/>
      <c r="F54" s="109"/>
    </row>
    <row r="55" spans="1:6" s="5" customFormat="1" x14ac:dyDescent="0.25">
      <c r="A55" s="93" t="str">
        <f>A$37&amp;"."&amp;COUNTA(C$37:C55)</f>
        <v>2.2.1.6</v>
      </c>
      <c r="B55" s="30" t="s">
        <v>87</v>
      </c>
      <c r="C55" s="17" t="s">
        <v>2</v>
      </c>
      <c r="D55" s="17">
        <v>1</v>
      </c>
      <c r="E55" s="23"/>
      <c r="F55" s="110">
        <f t="shared" ref="F55" si="5">E55*D55</f>
        <v>0</v>
      </c>
    </row>
    <row r="56" spans="1:6" s="5" customFormat="1" ht="12.75" x14ac:dyDescent="0.25">
      <c r="A56" s="88"/>
      <c r="B56" s="30"/>
      <c r="C56" s="19"/>
      <c r="D56" s="19"/>
      <c r="E56" s="19"/>
      <c r="F56" s="109"/>
    </row>
    <row r="57" spans="1:6" s="5" customFormat="1" x14ac:dyDescent="0.25">
      <c r="A57" s="93" t="str">
        <f>A$37&amp;"."&amp;COUNTA(C$37:C57)</f>
        <v>2.2.1.7</v>
      </c>
      <c r="B57" s="30" t="s">
        <v>88</v>
      </c>
      <c r="C57" s="17" t="s">
        <v>2</v>
      </c>
      <c r="D57" s="17">
        <v>1</v>
      </c>
      <c r="E57" s="23"/>
      <c r="F57" s="110">
        <f t="shared" ref="F57" si="6">E57*D57</f>
        <v>0</v>
      </c>
    </row>
    <row r="58" spans="1:6" s="5" customFormat="1" ht="12.75" x14ac:dyDescent="0.25">
      <c r="A58" s="88"/>
      <c r="B58" s="30"/>
      <c r="C58" s="19"/>
      <c r="D58" s="19"/>
      <c r="E58" s="19"/>
      <c r="F58" s="109"/>
    </row>
    <row r="59" spans="1:6" s="5" customFormat="1" ht="25.5" x14ac:dyDescent="0.25">
      <c r="A59" s="93"/>
      <c r="B59" s="156" t="s">
        <v>89</v>
      </c>
      <c r="C59" s="18"/>
      <c r="D59" s="17"/>
      <c r="E59" s="23"/>
      <c r="F59" s="110"/>
    </row>
    <row r="60" spans="1:6" s="5" customFormat="1" x14ac:dyDescent="0.25">
      <c r="A60" s="92"/>
      <c r="B60" s="39"/>
      <c r="C60" s="18"/>
      <c r="D60" s="17"/>
      <c r="E60" s="23"/>
      <c r="F60" s="111"/>
    </row>
    <row r="61" spans="1:6" s="5" customFormat="1" x14ac:dyDescent="0.25">
      <c r="A61" s="93" t="str">
        <f>A$37&amp;"."&amp;COUNTA(C$37:C61)</f>
        <v>2.2.1.8</v>
      </c>
      <c r="B61" s="30" t="s">
        <v>92</v>
      </c>
      <c r="C61" s="18" t="s">
        <v>6</v>
      </c>
      <c r="D61" s="17">
        <v>32</v>
      </c>
      <c r="E61" s="23"/>
      <c r="F61" s="110">
        <f t="shared" ref="F61" si="7">E61*D61</f>
        <v>0</v>
      </c>
    </row>
    <row r="62" spans="1:6" s="5" customFormat="1" x14ac:dyDescent="0.25">
      <c r="A62" s="92"/>
      <c r="B62" s="39"/>
      <c r="C62" s="18"/>
      <c r="D62" s="17"/>
      <c r="E62" s="23"/>
      <c r="F62" s="111"/>
    </row>
    <row r="63" spans="1:6" s="5" customFormat="1" x14ac:dyDescent="0.25">
      <c r="A63" s="93" t="str">
        <f>A$37&amp;"."&amp;COUNTA(C$37:C63)</f>
        <v>2.2.1.9</v>
      </c>
      <c r="B63" s="30" t="s">
        <v>93</v>
      </c>
      <c r="C63" s="18" t="s">
        <v>6</v>
      </c>
      <c r="D63" s="17">
        <v>32</v>
      </c>
      <c r="E63" s="23"/>
      <c r="F63" s="110">
        <f t="shared" ref="F63" si="8">E63*D63</f>
        <v>0</v>
      </c>
    </row>
    <row r="64" spans="1:6" s="5" customFormat="1" x14ac:dyDescent="0.25">
      <c r="A64" s="92"/>
      <c r="B64" s="39"/>
      <c r="C64" s="18"/>
      <c r="D64" s="17"/>
      <c r="E64" s="23"/>
      <c r="F64" s="111"/>
    </row>
    <row r="65" spans="1:6" s="5" customFormat="1" x14ac:dyDescent="0.25">
      <c r="A65" s="93" t="str">
        <f>A$37&amp;"."&amp;COUNTA(C$37:C65)</f>
        <v>2.2.1.10</v>
      </c>
      <c r="B65" s="30" t="s">
        <v>94</v>
      </c>
      <c r="C65" s="18" t="s">
        <v>6</v>
      </c>
      <c r="D65" s="17">
        <v>32</v>
      </c>
      <c r="E65" s="23"/>
      <c r="F65" s="110">
        <f t="shared" ref="F65" si="9">E65*D65</f>
        <v>0</v>
      </c>
    </row>
    <row r="66" spans="1:6" s="5" customFormat="1" x14ac:dyDescent="0.25">
      <c r="A66" s="92"/>
      <c r="B66" s="39"/>
      <c r="C66" s="18"/>
      <c r="D66" s="17"/>
      <c r="E66" s="23"/>
      <c r="F66" s="111"/>
    </row>
    <row r="67" spans="1:6" s="5" customFormat="1" x14ac:dyDescent="0.25">
      <c r="A67" s="93" t="str">
        <f>A$37&amp;"."&amp;COUNTA(C$37:C67)</f>
        <v>2.2.1.11</v>
      </c>
      <c r="B67" s="30" t="s">
        <v>95</v>
      </c>
      <c r="C67" s="18" t="s">
        <v>6</v>
      </c>
      <c r="D67" s="17">
        <v>78</v>
      </c>
      <c r="E67" s="23"/>
      <c r="F67" s="110">
        <f t="shared" ref="F67" si="10">E67*D67</f>
        <v>0</v>
      </c>
    </row>
    <row r="68" spans="1:6" s="5" customFormat="1" x14ac:dyDescent="0.25">
      <c r="A68" s="92"/>
      <c r="B68" s="39"/>
      <c r="C68" s="18"/>
      <c r="D68" s="17"/>
      <c r="E68" s="23"/>
      <c r="F68" s="111"/>
    </row>
    <row r="69" spans="1:6" s="5" customFormat="1" x14ac:dyDescent="0.25">
      <c r="A69" s="93" t="str">
        <f>A$37&amp;"."&amp;COUNTA(C$37:C69)</f>
        <v>2.2.1.12</v>
      </c>
      <c r="B69" s="30" t="s">
        <v>96</v>
      </c>
      <c r="C69" s="18" t="s">
        <v>6</v>
      </c>
      <c r="D69" s="17">
        <v>42</v>
      </c>
      <c r="E69" s="23"/>
      <c r="F69" s="110">
        <f t="shared" ref="F69" si="11">E69*D69</f>
        <v>0</v>
      </c>
    </row>
    <row r="70" spans="1:6" s="5" customFormat="1" x14ac:dyDescent="0.25">
      <c r="A70" s="92"/>
      <c r="B70" s="39"/>
      <c r="C70" s="18"/>
      <c r="D70" s="17"/>
      <c r="E70" s="23"/>
      <c r="F70" s="111"/>
    </row>
    <row r="71" spans="1:6" s="5" customFormat="1" x14ac:dyDescent="0.25">
      <c r="A71" s="93" t="str">
        <f>A$37&amp;"."&amp;COUNTA(C$37:C71)</f>
        <v>2.2.1.13</v>
      </c>
      <c r="B71" s="30" t="s">
        <v>97</v>
      </c>
      <c r="C71" s="18" t="s">
        <v>6</v>
      </c>
      <c r="D71" s="17">
        <v>90</v>
      </c>
      <c r="E71" s="23"/>
      <c r="F71" s="110">
        <f t="shared" ref="F71" si="12">E71*D71</f>
        <v>0</v>
      </c>
    </row>
    <row r="72" spans="1:6" s="5" customFormat="1" x14ac:dyDescent="0.25">
      <c r="A72" s="92"/>
      <c r="B72" s="39"/>
      <c r="C72" s="18"/>
      <c r="D72" s="17"/>
      <c r="E72" s="23"/>
      <c r="F72" s="111"/>
    </row>
    <row r="73" spans="1:6" s="5" customFormat="1" x14ac:dyDescent="0.25">
      <c r="A73" s="93" t="str">
        <f>A$37&amp;"."&amp;COUNTA(C$37:C73)</f>
        <v>2.2.1.14</v>
      </c>
      <c r="B73" s="30" t="s">
        <v>98</v>
      </c>
      <c r="C73" s="18" t="s">
        <v>6</v>
      </c>
      <c r="D73" s="17">
        <v>42</v>
      </c>
      <c r="E73" s="23"/>
      <c r="F73" s="110">
        <f t="shared" ref="F73" si="13">E73*D73</f>
        <v>0</v>
      </c>
    </row>
    <row r="74" spans="1:6" s="5" customFormat="1" x14ac:dyDescent="0.25">
      <c r="A74" s="92"/>
      <c r="B74" s="39"/>
      <c r="C74" s="18"/>
      <c r="D74" s="17"/>
      <c r="E74" s="23"/>
      <c r="F74" s="111"/>
    </row>
    <row r="75" spans="1:6" s="5" customFormat="1" x14ac:dyDescent="0.25">
      <c r="A75" s="93" t="str">
        <f>A$37&amp;"."&amp;COUNTA(C$37:C75)</f>
        <v>2.2.1.15</v>
      </c>
      <c r="B75" s="39" t="s">
        <v>99</v>
      </c>
      <c r="C75" s="17" t="s">
        <v>2</v>
      </c>
      <c r="D75" s="17">
        <v>2</v>
      </c>
      <c r="E75" s="23"/>
      <c r="F75" s="110">
        <f t="shared" ref="F75" si="14">E75*D75</f>
        <v>0</v>
      </c>
    </row>
    <row r="76" spans="1:6" s="5" customFormat="1" x14ac:dyDescent="0.25">
      <c r="A76" s="92"/>
      <c r="B76" s="39"/>
      <c r="C76" s="18"/>
      <c r="D76" s="17"/>
      <c r="E76" s="23"/>
      <c r="F76" s="111"/>
    </row>
    <row r="77" spans="1:6" s="5" customFormat="1" x14ac:dyDescent="0.25">
      <c r="A77" s="93" t="str">
        <f>A$37&amp;"."&amp;COUNTA(C$37:C77)</f>
        <v>2.2.1.16</v>
      </c>
      <c r="B77" s="30" t="s">
        <v>91</v>
      </c>
      <c r="C77" s="18" t="s">
        <v>0</v>
      </c>
      <c r="D77" s="17">
        <v>1</v>
      </c>
      <c r="E77" s="23"/>
      <c r="F77" s="110">
        <f t="shared" ref="F77" si="15">E77*D77</f>
        <v>0</v>
      </c>
    </row>
    <row r="78" spans="1:6" s="5" customFormat="1" x14ac:dyDescent="0.25">
      <c r="A78" s="93"/>
      <c r="B78" s="30"/>
      <c r="C78" s="17"/>
      <c r="D78" s="17"/>
      <c r="E78" s="23"/>
      <c r="F78" s="111"/>
    </row>
    <row r="79" spans="1:6" s="5" customFormat="1" x14ac:dyDescent="0.25">
      <c r="A79" s="93"/>
      <c r="B79" s="165" t="s">
        <v>90</v>
      </c>
      <c r="C79" s="17"/>
      <c r="D79" s="17"/>
      <c r="E79" s="23"/>
      <c r="F79" s="111"/>
    </row>
    <row r="80" spans="1:6" s="5" customFormat="1" x14ac:dyDescent="0.25">
      <c r="A80" s="93"/>
      <c r="B80" s="30"/>
      <c r="C80" s="17"/>
      <c r="D80" s="17"/>
      <c r="E80" s="23"/>
      <c r="F80" s="111"/>
    </row>
    <row r="81" spans="1:6" s="5" customFormat="1" ht="25.5" x14ac:dyDescent="0.25">
      <c r="A81" s="93" t="str">
        <f>A$37&amp;"."&amp;COUNTA(C$37:C81)</f>
        <v>2.2.1.17</v>
      </c>
      <c r="B81" s="30" t="s">
        <v>84</v>
      </c>
      <c r="C81" s="18" t="s">
        <v>0</v>
      </c>
      <c r="D81" s="17">
        <v>1</v>
      </c>
      <c r="E81" s="23"/>
      <c r="F81" s="110">
        <f t="shared" ref="F81" si="16">E81*D81</f>
        <v>0</v>
      </c>
    </row>
    <row r="82" spans="1:6" s="5" customFormat="1" x14ac:dyDescent="0.25">
      <c r="A82" s="93"/>
      <c r="B82" s="30"/>
      <c r="C82" s="17"/>
      <c r="D82" s="17"/>
      <c r="E82" s="23"/>
      <c r="F82" s="111"/>
    </row>
    <row r="83" spans="1:6" s="5" customFormat="1" ht="25.5" x14ac:dyDescent="0.25">
      <c r="A83" s="93" t="str">
        <f>A$37&amp;"."&amp;COUNTA(C$37:C83)</f>
        <v>2.2.1.18</v>
      </c>
      <c r="B83" s="30" t="s">
        <v>105</v>
      </c>
      <c r="C83" s="18" t="s">
        <v>0</v>
      </c>
      <c r="D83" s="17">
        <v>1</v>
      </c>
      <c r="E83" s="23"/>
      <c r="F83" s="110">
        <f t="shared" ref="F83" si="17">E83*D83</f>
        <v>0</v>
      </c>
    </row>
    <row r="84" spans="1:6" s="5" customFormat="1" x14ac:dyDescent="0.25">
      <c r="A84" s="93"/>
      <c r="B84" s="30"/>
      <c r="C84" s="17"/>
      <c r="D84" s="17"/>
      <c r="E84" s="23"/>
      <c r="F84" s="111"/>
    </row>
    <row r="85" spans="1:6" s="5" customFormat="1" ht="25.5" x14ac:dyDescent="0.25">
      <c r="A85" s="93" t="str">
        <f>A$37&amp;"."&amp;COUNTA(C$37:C85)</f>
        <v>2.2.1.19</v>
      </c>
      <c r="B85" s="30" t="s">
        <v>104</v>
      </c>
      <c r="C85" s="18" t="s">
        <v>0</v>
      </c>
      <c r="D85" s="17">
        <v>1</v>
      </c>
      <c r="E85" s="23"/>
      <c r="F85" s="110">
        <f t="shared" ref="F85" si="18">E85*D85</f>
        <v>0</v>
      </c>
    </row>
    <row r="86" spans="1:6" s="5" customFormat="1" x14ac:dyDescent="0.25">
      <c r="A86" s="93"/>
      <c r="B86" s="30"/>
      <c r="C86" s="17"/>
      <c r="D86" s="17"/>
      <c r="E86" s="23"/>
      <c r="F86" s="111"/>
    </row>
    <row r="87" spans="1:6" s="5" customFormat="1" ht="25.5" x14ac:dyDescent="0.25">
      <c r="A87" s="93" t="str">
        <f>A$37&amp;"."&amp;COUNTA(C$37:C87)</f>
        <v>2.2.1.20</v>
      </c>
      <c r="B87" s="30" t="s">
        <v>103</v>
      </c>
      <c r="C87" s="18" t="s">
        <v>0</v>
      </c>
      <c r="D87" s="17">
        <v>1</v>
      </c>
      <c r="E87" s="23"/>
      <c r="F87" s="110">
        <f t="shared" ref="F87" si="19">E87*D87</f>
        <v>0</v>
      </c>
    </row>
    <row r="88" spans="1:6" s="5" customFormat="1" ht="6.95" customHeight="1" x14ac:dyDescent="0.25">
      <c r="A88" s="93"/>
      <c r="B88" s="30"/>
      <c r="C88" s="17"/>
      <c r="D88" s="17"/>
      <c r="E88" s="23"/>
      <c r="F88" s="111"/>
    </row>
    <row r="89" spans="1:6" s="5" customFormat="1" x14ac:dyDescent="0.25">
      <c r="A89" s="93" t="str">
        <f>A$37&amp;"."&amp;COUNTA(C$37:C89)</f>
        <v>2.2.1.21</v>
      </c>
      <c r="B89" s="30" t="s">
        <v>87</v>
      </c>
      <c r="C89" s="18" t="s">
        <v>0</v>
      </c>
      <c r="D89" s="17">
        <v>1</v>
      </c>
      <c r="E89" s="23"/>
      <c r="F89" s="110">
        <f t="shared" ref="F89" si="20">E89*D89</f>
        <v>0</v>
      </c>
    </row>
    <row r="90" spans="1:6" s="5" customFormat="1" ht="12.75" x14ac:dyDescent="0.25">
      <c r="A90" s="124"/>
      <c r="B90" s="30"/>
      <c r="C90" s="19"/>
      <c r="D90" s="19"/>
      <c r="E90" s="19"/>
      <c r="F90" s="109"/>
    </row>
    <row r="91" spans="1:6" s="5" customFormat="1" x14ac:dyDescent="0.25">
      <c r="A91" s="93" t="str">
        <f>A$37&amp;"."&amp;COUNTA(C$37:C91)</f>
        <v>2.2.1.22</v>
      </c>
      <c r="B91" s="30" t="s">
        <v>88</v>
      </c>
      <c r="C91" s="18" t="s">
        <v>0</v>
      </c>
      <c r="D91" s="17">
        <v>1</v>
      </c>
      <c r="E91" s="23"/>
      <c r="F91" s="110">
        <f t="shared" ref="F91" si="21">E91*D91</f>
        <v>0</v>
      </c>
    </row>
    <row r="92" spans="1:6" s="5" customFormat="1" ht="6.95" customHeight="1" x14ac:dyDescent="0.25">
      <c r="A92" s="166"/>
      <c r="B92" s="30"/>
      <c r="C92" s="18"/>
      <c r="D92" s="17"/>
      <c r="E92" s="23"/>
      <c r="F92" s="110"/>
    </row>
    <row r="93" spans="1:6" s="5" customFormat="1" x14ac:dyDescent="0.25">
      <c r="A93" s="93" t="str">
        <f>A$37&amp;"."&amp;COUNTA(C$37:C93)</f>
        <v>2.2.1.23</v>
      </c>
      <c r="B93" s="39" t="s">
        <v>89</v>
      </c>
      <c r="C93" s="18" t="s">
        <v>0</v>
      </c>
      <c r="D93" s="17">
        <v>1</v>
      </c>
      <c r="E93" s="23"/>
      <c r="F93" s="110">
        <f t="shared" ref="F93" si="22">E93*D93</f>
        <v>0</v>
      </c>
    </row>
    <row r="94" spans="1:6" s="5" customFormat="1" ht="6.95" customHeight="1" x14ac:dyDescent="0.25">
      <c r="A94" s="93"/>
      <c r="B94" s="30"/>
      <c r="C94" s="18"/>
      <c r="D94" s="17"/>
      <c r="E94" s="23"/>
      <c r="F94" s="110"/>
    </row>
    <row r="95" spans="1:6" s="5" customFormat="1" x14ac:dyDescent="0.25">
      <c r="A95" s="93" t="str">
        <f>A$37&amp;"."&amp;COUNTA(C$37:C95)</f>
        <v>2.2.1.24</v>
      </c>
      <c r="B95" s="118" t="s">
        <v>50</v>
      </c>
      <c r="C95" s="18" t="s">
        <v>0</v>
      </c>
      <c r="D95" s="17">
        <v>1</v>
      </c>
      <c r="E95" s="23"/>
      <c r="F95" s="110">
        <f t="shared" ref="F95" si="23">E95*D95</f>
        <v>0</v>
      </c>
    </row>
    <row r="96" spans="1:6" s="5" customFormat="1" ht="6.95" customHeight="1" x14ac:dyDescent="0.25">
      <c r="A96" s="93"/>
      <c r="B96" s="30"/>
      <c r="C96" s="17"/>
      <c r="D96" s="17"/>
      <c r="E96" s="23"/>
      <c r="F96" s="110"/>
    </row>
    <row r="97" spans="1:6" s="5" customFormat="1" x14ac:dyDescent="0.25">
      <c r="A97" s="93" t="str">
        <f>A$37&amp;"."&amp;COUNTA(C$37:C97)</f>
        <v>2.2.1.25</v>
      </c>
      <c r="B97" s="30" t="s">
        <v>101</v>
      </c>
      <c r="C97" s="18" t="s">
        <v>100</v>
      </c>
      <c r="D97" s="17">
        <v>15</v>
      </c>
      <c r="E97" s="23"/>
      <c r="F97" s="110">
        <f t="shared" ref="F97" si="24">E97*D97</f>
        <v>0</v>
      </c>
    </row>
    <row r="98" spans="1:6" s="5" customFormat="1" ht="12.75" x14ac:dyDescent="0.25">
      <c r="A98" s="93"/>
      <c r="B98" s="30"/>
      <c r="C98" s="19"/>
      <c r="D98" s="19"/>
      <c r="E98" s="19"/>
      <c r="F98" s="109"/>
    </row>
    <row r="99" spans="1:6" s="5" customFormat="1" x14ac:dyDescent="0.25">
      <c r="A99" s="93" t="str">
        <f>A$37&amp;"."&amp;COUNTA(C$37:C99)</f>
        <v>2.2.1.26</v>
      </c>
      <c r="B99" s="30" t="s">
        <v>82</v>
      </c>
      <c r="C99" s="17" t="s">
        <v>2</v>
      </c>
      <c r="D99" s="17">
        <v>1</v>
      </c>
      <c r="E99" s="23"/>
      <c r="F99" s="110">
        <f t="shared" ref="F99" si="25">E99*D99</f>
        <v>0</v>
      </c>
    </row>
    <row r="100" spans="1:6" s="5" customFormat="1" x14ac:dyDescent="0.25">
      <c r="A100" s="92"/>
      <c r="B100" s="30"/>
      <c r="C100" s="17"/>
      <c r="D100" s="17"/>
      <c r="E100" s="23"/>
      <c r="F100" s="110"/>
    </row>
    <row r="101" spans="1:6" s="5" customFormat="1" x14ac:dyDescent="0.25">
      <c r="A101" s="98"/>
      <c r="B101" s="102" t="s">
        <v>23</v>
      </c>
      <c r="C101" s="99"/>
      <c r="D101" s="99"/>
      <c r="E101" s="100"/>
      <c r="F101" s="112">
        <f>SUBTOTAL(9,F$4:F99)</f>
        <v>0</v>
      </c>
    </row>
    <row r="102" spans="1:6" s="5" customFormat="1" x14ac:dyDescent="0.25">
      <c r="A102" s="89"/>
      <c r="B102" s="103" t="s">
        <v>24</v>
      </c>
      <c r="C102" s="18"/>
      <c r="D102" s="18"/>
      <c r="E102" s="23"/>
      <c r="F102" s="112">
        <f>SUBTOTAL(9,F$4:F101)</f>
        <v>0</v>
      </c>
    </row>
    <row r="103" spans="1:6" s="5" customFormat="1" x14ac:dyDescent="0.25">
      <c r="A103" s="89"/>
      <c r="B103" s="32"/>
      <c r="C103" s="17"/>
      <c r="D103" s="17"/>
      <c r="E103" s="23"/>
      <c r="F103" s="111"/>
    </row>
    <row r="104" spans="1:6" s="5" customFormat="1" x14ac:dyDescent="0.25">
      <c r="A104" s="90">
        <v>2.2999999999999998</v>
      </c>
      <c r="B104" s="141" t="s">
        <v>5</v>
      </c>
      <c r="C104" s="33"/>
      <c r="D104" s="17"/>
      <c r="E104" s="23"/>
      <c r="F104" s="111"/>
    </row>
    <row r="105" spans="1:6" s="5" customFormat="1" x14ac:dyDescent="0.25">
      <c r="A105" s="89"/>
      <c r="B105" s="30"/>
      <c r="C105" s="33"/>
      <c r="D105" s="17"/>
      <c r="E105" s="23"/>
      <c r="F105" s="111"/>
    </row>
    <row r="106" spans="1:6" s="5" customFormat="1" ht="80.45" customHeight="1" x14ac:dyDescent="0.25">
      <c r="A106" s="89"/>
      <c r="B106" s="34" t="s">
        <v>63</v>
      </c>
      <c r="C106" s="33"/>
      <c r="D106" s="17"/>
      <c r="E106" s="23"/>
      <c r="F106" s="111"/>
    </row>
    <row r="107" spans="1:6" s="5" customFormat="1" x14ac:dyDescent="0.25">
      <c r="A107" s="89"/>
      <c r="B107" s="38"/>
      <c r="C107" s="33"/>
      <c r="D107" s="17"/>
      <c r="E107" s="23"/>
      <c r="F107" s="111"/>
    </row>
    <row r="108" spans="1:6" s="5" customFormat="1" x14ac:dyDescent="0.25">
      <c r="A108" s="93" t="str">
        <f>A$104&amp;"."&amp;COUNTA(C$104:C108)</f>
        <v>2.3.1</v>
      </c>
      <c r="B108" s="35" t="s">
        <v>31</v>
      </c>
      <c r="C108" s="16" t="s">
        <v>6</v>
      </c>
      <c r="D108" s="16">
        <v>150</v>
      </c>
      <c r="E108" s="15"/>
      <c r="F108" s="110">
        <f>E108*D108</f>
        <v>0</v>
      </c>
    </row>
    <row r="109" spans="1:6" s="5" customFormat="1" x14ac:dyDescent="0.25">
      <c r="A109" s="93"/>
      <c r="B109" s="35"/>
      <c r="C109" s="16"/>
      <c r="D109" s="16"/>
      <c r="E109" s="15"/>
      <c r="F109" s="110"/>
    </row>
    <row r="110" spans="1:6" s="5" customFormat="1" x14ac:dyDescent="0.25">
      <c r="A110" s="93" t="str">
        <f>A$104&amp;"."&amp;COUNTA(C$104:C110)</f>
        <v>2.3.2</v>
      </c>
      <c r="B110" s="35" t="s">
        <v>7</v>
      </c>
      <c r="C110" s="16" t="s">
        <v>2</v>
      </c>
      <c r="D110" s="16">
        <v>20</v>
      </c>
      <c r="E110" s="15"/>
      <c r="F110" s="110">
        <f>E110*D110</f>
        <v>0</v>
      </c>
    </row>
    <row r="111" spans="1:6" s="5" customFormat="1" x14ac:dyDescent="0.25">
      <c r="A111" s="93"/>
      <c r="B111" s="35"/>
      <c r="C111" s="16"/>
      <c r="D111" s="16"/>
      <c r="E111" s="15"/>
      <c r="F111" s="110"/>
    </row>
    <row r="112" spans="1:6" s="5" customFormat="1" x14ac:dyDescent="0.25">
      <c r="A112" s="93" t="str">
        <f>A$104&amp;"."&amp;COUNTA(C$104:C112)</f>
        <v>2.3.3</v>
      </c>
      <c r="B112" s="35" t="s">
        <v>59</v>
      </c>
      <c r="C112" s="16" t="s">
        <v>2</v>
      </c>
      <c r="D112" s="16">
        <v>2</v>
      </c>
      <c r="E112" s="15"/>
      <c r="F112" s="110">
        <f>E112*D112</f>
        <v>0</v>
      </c>
    </row>
    <row r="113" spans="1:6" s="5" customFormat="1" x14ac:dyDescent="0.25">
      <c r="A113" s="93"/>
      <c r="B113" s="35"/>
      <c r="C113" s="16"/>
      <c r="D113" s="16"/>
      <c r="E113" s="15"/>
      <c r="F113" s="110"/>
    </row>
    <row r="114" spans="1:6" s="5" customFormat="1" x14ac:dyDescent="0.25">
      <c r="A114" s="93" t="str">
        <f>A$104&amp;"."&amp;COUNTA(C$104:C114)</f>
        <v>2.3.4</v>
      </c>
      <c r="B114" s="35" t="s">
        <v>8</v>
      </c>
      <c r="C114" s="16" t="s">
        <v>2</v>
      </c>
      <c r="D114" s="16">
        <v>4</v>
      </c>
      <c r="E114" s="15"/>
      <c r="F114" s="110">
        <f>E114*D114</f>
        <v>0</v>
      </c>
    </row>
    <row r="115" spans="1:6" s="5" customFormat="1" x14ac:dyDescent="0.25">
      <c r="A115" s="89"/>
      <c r="B115" s="35"/>
      <c r="C115" s="16"/>
      <c r="D115" s="16"/>
      <c r="E115" s="15"/>
      <c r="F115" s="110"/>
    </row>
    <row r="116" spans="1:6" s="5" customFormat="1" x14ac:dyDescent="0.25">
      <c r="A116" s="90">
        <v>2.4</v>
      </c>
      <c r="B116" s="142" t="s">
        <v>27</v>
      </c>
      <c r="C116" s="16"/>
      <c r="D116" s="16"/>
      <c r="E116" s="15"/>
      <c r="F116" s="110"/>
    </row>
    <row r="117" spans="1:6" s="5" customFormat="1" ht="11.25" customHeight="1" x14ac:dyDescent="0.25">
      <c r="A117" s="89"/>
      <c r="B117" s="35"/>
      <c r="C117" s="16"/>
      <c r="D117" s="16"/>
      <c r="E117" s="15"/>
      <c r="F117" s="110"/>
    </row>
    <row r="118" spans="1:6" s="5" customFormat="1" ht="25.5" x14ac:dyDescent="0.25">
      <c r="A118" s="138" t="s">
        <v>55</v>
      </c>
      <c r="B118" s="143" t="s">
        <v>25</v>
      </c>
      <c r="C118" s="16"/>
      <c r="D118" s="16"/>
      <c r="E118" s="15"/>
      <c r="F118" s="110"/>
    </row>
    <row r="119" spans="1:6" s="5" customFormat="1" ht="11.25" customHeight="1" x14ac:dyDescent="0.25">
      <c r="A119" s="89"/>
      <c r="B119" s="36"/>
      <c r="C119" s="37"/>
      <c r="D119" s="16"/>
      <c r="E119" s="15"/>
      <c r="F119" s="111"/>
    </row>
    <row r="120" spans="1:6" s="5" customFormat="1" x14ac:dyDescent="0.25">
      <c r="A120" s="93" t="str">
        <f>A$118&amp;"."&amp;COUNTA(C$118:C120)</f>
        <v>2.4.1.1</v>
      </c>
      <c r="B120" s="36" t="s">
        <v>102</v>
      </c>
      <c r="C120" s="16" t="s">
        <v>2</v>
      </c>
      <c r="D120" s="16">
        <v>1</v>
      </c>
      <c r="E120" s="15"/>
      <c r="F120" s="110">
        <f>E120*D120</f>
        <v>0</v>
      </c>
    </row>
    <row r="121" spans="1:6" s="5" customFormat="1" x14ac:dyDescent="0.25">
      <c r="A121" s="89"/>
      <c r="B121" s="36"/>
      <c r="C121" s="37"/>
      <c r="D121" s="16"/>
      <c r="E121" s="15"/>
      <c r="F121" s="111"/>
    </row>
    <row r="122" spans="1:6" s="5" customFormat="1" x14ac:dyDescent="0.25">
      <c r="A122" s="93" t="str">
        <f>A$118&amp;"."&amp;COUNTA(C$118:C122)</f>
        <v>2.4.1.2</v>
      </c>
      <c r="B122" s="36" t="s">
        <v>9</v>
      </c>
      <c r="C122" s="37" t="s">
        <v>0</v>
      </c>
      <c r="D122" s="16">
        <v>1</v>
      </c>
      <c r="E122" s="15"/>
      <c r="F122" s="111">
        <f>E122*D122</f>
        <v>0</v>
      </c>
    </row>
    <row r="123" spans="1:6" s="5" customFormat="1" x14ac:dyDescent="0.25">
      <c r="A123" s="92"/>
      <c r="B123" s="36"/>
      <c r="C123" s="37"/>
      <c r="D123" s="16"/>
      <c r="E123" s="15"/>
      <c r="F123" s="111"/>
    </row>
    <row r="124" spans="1:6" s="5" customFormat="1" ht="12.75" x14ac:dyDescent="0.25">
      <c r="A124" s="91">
        <v>2.5</v>
      </c>
      <c r="B124" s="25" t="s">
        <v>4</v>
      </c>
      <c r="C124" s="22"/>
      <c r="D124" s="19"/>
      <c r="E124" s="21"/>
      <c r="F124" s="109"/>
    </row>
    <row r="125" spans="1:6" s="5" customFormat="1" ht="12.75" x14ac:dyDescent="0.25">
      <c r="A125" s="91"/>
      <c r="B125" s="25"/>
      <c r="C125" s="22"/>
      <c r="D125" s="19"/>
      <c r="E125" s="21"/>
      <c r="F125" s="109"/>
    </row>
    <row r="126" spans="1:6" s="5" customFormat="1" ht="38.25" x14ac:dyDescent="0.25">
      <c r="A126" s="91"/>
      <c r="B126" s="157" t="s">
        <v>56</v>
      </c>
      <c r="C126" s="22"/>
      <c r="D126" s="19"/>
      <c r="E126" s="21"/>
      <c r="F126" s="109"/>
    </row>
    <row r="127" spans="1:6" s="5" customFormat="1" ht="12.75" x14ac:dyDescent="0.25">
      <c r="A127" s="92"/>
      <c r="B127" s="22"/>
      <c r="C127" s="22"/>
      <c r="D127" s="19"/>
      <c r="E127" s="21"/>
      <c r="F127" s="109"/>
    </row>
    <row r="128" spans="1:6" s="5" customFormat="1" ht="12.75" x14ac:dyDescent="0.25">
      <c r="A128" s="93" t="str">
        <f>A$124&amp;"."&amp;COUNTA(C$124:C128)</f>
        <v>2.5.1</v>
      </c>
      <c r="B128" s="24" t="s">
        <v>10</v>
      </c>
      <c r="C128" s="20" t="s">
        <v>2</v>
      </c>
      <c r="D128" s="17">
        <v>10</v>
      </c>
      <c r="E128" s="23"/>
      <c r="F128" s="113">
        <f>E128*D128</f>
        <v>0</v>
      </c>
    </row>
    <row r="129" spans="1:6" s="5" customFormat="1" ht="12.75" x14ac:dyDescent="0.25">
      <c r="A129" s="93"/>
      <c r="B129" s="22"/>
      <c r="C129" s="20"/>
      <c r="D129" s="17"/>
      <c r="E129" s="23"/>
      <c r="F129" s="137"/>
    </row>
    <row r="130" spans="1:6" s="5" customFormat="1" ht="12.75" x14ac:dyDescent="0.25">
      <c r="A130" s="93" t="str">
        <f>A$124&amp;"."&amp;COUNTA(C$124:C130)</f>
        <v>2.5.2</v>
      </c>
      <c r="B130" s="22" t="s">
        <v>3</v>
      </c>
      <c r="C130" s="20" t="s">
        <v>2</v>
      </c>
      <c r="D130" s="17">
        <v>1</v>
      </c>
      <c r="E130" s="23"/>
      <c r="F130" s="113">
        <f>E130*D130</f>
        <v>0</v>
      </c>
    </row>
    <row r="131" spans="1:6" s="5" customFormat="1" ht="12.75" x14ac:dyDescent="0.25">
      <c r="A131" s="93"/>
      <c r="B131" s="24"/>
      <c r="C131" s="22"/>
      <c r="D131" s="19"/>
      <c r="E131" s="21"/>
      <c r="F131" s="109"/>
    </row>
    <row r="132" spans="1:6" s="5" customFormat="1" ht="12.75" x14ac:dyDescent="0.25">
      <c r="A132" s="93" t="str">
        <f>A$124&amp;"."&amp;COUNTA(C$124:C132)</f>
        <v>2.5.3</v>
      </c>
      <c r="B132" s="22" t="s">
        <v>1</v>
      </c>
      <c r="C132" s="20" t="s">
        <v>0</v>
      </c>
      <c r="D132" s="17">
        <v>1</v>
      </c>
      <c r="E132" s="23"/>
      <c r="F132" s="113">
        <f>E132*D132</f>
        <v>0</v>
      </c>
    </row>
    <row r="133" spans="1:6" s="5" customFormat="1" ht="12.75" x14ac:dyDescent="0.25">
      <c r="A133" s="129"/>
      <c r="B133" s="130"/>
      <c r="C133" s="20"/>
      <c r="D133" s="17"/>
      <c r="E133" s="134"/>
      <c r="F133" s="113"/>
    </row>
    <row r="134" spans="1:6" s="5" customFormat="1" ht="15" x14ac:dyDescent="0.25">
      <c r="A134" s="124">
        <v>2.6</v>
      </c>
      <c r="B134" s="125" t="s">
        <v>58</v>
      </c>
      <c r="C134" s="126"/>
      <c r="D134" s="127"/>
      <c r="E134" s="50"/>
      <c r="F134" s="128"/>
    </row>
    <row r="135" spans="1:6" s="5" customFormat="1" ht="11.25" customHeight="1" x14ac:dyDescent="0.25">
      <c r="A135" s="129"/>
      <c r="B135" s="125"/>
      <c r="C135" s="126"/>
      <c r="D135" s="127"/>
      <c r="E135" s="50"/>
      <c r="F135" s="128"/>
    </row>
    <row r="136" spans="1:6" s="5" customFormat="1" ht="66.599999999999994" customHeight="1" x14ac:dyDescent="0.25">
      <c r="A136" s="124"/>
      <c r="B136" s="158" t="s">
        <v>62</v>
      </c>
      <c r="C136" s="130"/>
      <c r="D136" s="131"/>
      <c r="E136" s="132"/>
      <c r="F136" s="128"/>
    </row>
    <row r="137" spans="1:6" s="5" customFormat="1" ht="12.75" x14ac:dyDescent="0.25">
      <c r="A137" s="129"/>
      <c r="B137" s="34"/>
      <c r="C137" s="130"/>
      <c r="D137" s="133"/>
      <c r="E137" s="50"/>
      <c r="F137" s="128"/>
    </row>
    <row r="138" spans="1:6" s="5" customFormat="1" ht="12.75" x14ac:dyDescent="0.25">
      <c r="A138" s="93" t="str">
        <f>A$134&amp;"."&amp;COUNTA(C$134:C138)</f>
        <v>2.6.1</v>
      </c>
      <c r="B138" s="34" t="s">
        <v>66</v>
      </c>
      <c r="C138" s="20" t="s">
        <v>2</v>
      </c>
      <c r="D138" s="17">
        <v>10</v>
      </c>
      <c r="E138" s="134"/>
      <c r="F138" s="113">
        <f>E138*D138</f>
        <v>0</v>
      </c>
    </row>
    <row r="139" spans="1:6" s="5" customFormat="1" ht="12.75" x14ac:dyDescent="0.25">
      <c r="A139" s="92"/>
      <c r="B139" s="38"/>
      <c r="C139" s="20"/>
      <c r="D139" s="17"/>
      <c r="E139" s="134"/>
      <c r="F139" s="137"/>
    </row>
    <row r="140" spans="1:6" s="5" customFormat="1" ht="12.75" x14ac:dyDescent="0.25">
      <c r="A140" s="92"/>
      <c r="B140" s="38"/>
      <c r="C140" s="20"/>
      <c r="D140" s="17"/>
      <c r="E140" s="134"/>
      <c r="F140" s="137"/>
    </row>
    <row r="141" spans="1:6" s="5" customFormat="1" ht="12.75" x14ac:dyDescent="0.25">
      <c r="A141" s="92"/>
      <c r="B141" s="38"/>
      <c r="C141" s="20"/>
      <c r="D141" s="17"/>
      <c r="E141" s="134"/>
      <c r="F141" s="137"/>
    </row>
    <row r="142" spans="1:6" s="5" customFormat="1" ht="12.75" x14ac:dyDescent="0.25">
      <c r="A142" s="92"/>
      <c r="B142" s="38"/>
      <c r="C142" s="20"/>
      <c r="D142" s="17"/>
      <c r="E142" s="134"/>
      <c r="F142" s="137"/>
    </row>
    <row r="143" spans="1:6" s="5" customFormat="1" ht="12.75" x14ac:dyDescent="0.25">
      <c r="A143" s="92"/>
      <c r="B143" s="38"/>
      <c r="C143" s="20"/>
      <c r="D143" s="17"/>
      <c r="E143" s="134"/>
      <c r="F143" s="137"/>
    </row>
    <row r="144" spans="1:6" s="5" customFormat="1" ht="12.75" x14ac:dyDescent="0.25">
      <c r="A144" s="92"/>
      <c r="B144" s="38"/>
      <c r="C144" s="20"/>
      <c r="D144" s="17"/>
      <c r="E144" s="134"/>
      <c r="F144" s="137"/>
    </row>
    <row r="145" spans="1:6" s="5" customFormat="1" x14ac:dyDescent="0.25">
      <c r="A145" s="92"/>
      <c r="B145" s="32"/>
      <c r="C145" s="18"/>
      <c r="D145" s="17"/>
      <c r="E145" s="23"/>
      <c r="F145" s="111"/>
    </row>
    <row r="146" spans="1:6" s="5" customFormat="1" x14ac:dyDescent="0.25">
      <c r="A146" s="98"/>
      <c r="B146" s="102" t="s">
        <v>23</v>
      </c>
      <c r="C146" s="99"/>
      <c r="D146" s="99"/>
      <c r="E146" s="100"/>
      <c r="F146" s="112">
        <f>SUBTOTAL(9,F$4:F145)</f>
        <v>0</v>
      </c>
    </row>
    <row r="147" spans="1:6" s="5" customFormat="1" x14ac:dyDescent="0.25">
      <c r="A147" s="160"/>
      <c r="B147" s="161" t="s">
        <v>24</v>
      </c>
      <c r="C147" s="162"/>
      <c r="D147" s="162"/>
      <c r="E147" s="163"/>
      <c r="F147" s="164">
        <f>SUBTOTAL(9,F$4:F146)</f>
        <v>0</v>
      </c>
    </row>
    <row r="148" spans="1:6" s="5" customFormat="1" x14ac:dyDescent="0.25">
      <c r="A148" s="89"/>
      <c r="B148" s="32"/>
      <c r="C148" s="17"/>
      <c r="D148" s="17"/>
      <c r="E148" s="23"/>
      <c r="F148" s="111"/>
    </row>
    <row r="149" spans="1:6" s="5" customFormat="1" ht="12.75" x14ac:dyDescent="0.25">
      <c r="A149" s="159">
        <v>2.7</v>
      </c>
      <c r="B149" s="125" t="s">
        <v>107</v>
      </c>
      <c r="C149" s="135"/>
      <c r="D149" s="133"/>
      <c r="E149" s="50"/>
      <c r="F149" s="128"/>
    </row>
    <row r="150" spans="1:6" s="5" customFormat="1" ht="12.75" x14ac:dyDescent="0.25">
      <c r="A150" s="129"/>
      <c r="B150" s="34"/>
      <c r="C150" s="135"/>
      <c r="D150" s="133"/>
      <c r="E150" s="50"/>
      <c r="F150" s="128"/>
    </row>
    <row r="151" spans="1:6" s="5" customFormat="1" ht="25.5" x14ac:dyDescent="0.25">
      <c r="A151" s="93"/>
      <c r="B151" s="180" t="s">
        <v>108</v>
      </c>
      <c r="C151" s="135"/>
      <c r="D151" s="133"/>
      <c r="E151" s="50"/>
      <c r="F151" s="128"/>
    </row>
    <row r="152" spans="1:6" s="5" customFormat="1" ht="12.75" x14ac:dyDescent="0.25">
      <c r="A152" s="129"/>
      <c r="B152" s="34"/>
      <c r="C152" s="135"/>
      <c r="D152" s="133"/>
      <c r="E152" s="50"/>
      <c r="F152" s="128"/>
    </row>
    <row r="153" spans="1:6" s="5" customFormat="1" ht="12.75" x14ac:dyDescent="0.25">
      <c r="A153" s="93" t="str">
        <f>A$149&amp;"."&amp;COUNTA(C$149:C153)</f>
        <v>2.7.1</v>
      </c>
      <c r="B153" s="34" t="s">
        <v>115</v>
      </c>
      <c r="C153" s="20" t="s">
        <v>6</v>
      </c>
      <c r="D153" s="17">
        <v>4</v>
      </c>
      <c r="E153" s="134"/>
      <c r="F153" s="113">
        <f>E153*D153</f>
        <v>0</v>
      </c>
    </row>
    <row r="154" spans="1:6" s="5" customFormat="1" ht="12.75" x14ac:dyDescent="0.25">
      <c r="A154" s="129"/>
      <c r="B154" s="34"/>
      <c r="C154" s="135"/>
      <c r="D154" s="133"/>
      <c r="E154" s="50"/>
      <c r="F154" s="128"/>
    </row>
    <row r="155" spans="1:6" s="5" customFormat="1" ht="12.75" x14ac:dyDescent="0.25">
      <c r="A155" s="93" t="str">
        <f>A$149&amp;"."&amp;COUNTA(C$149:C155)</f>
        <v>2.7.2</v>
      </c>
      <c r="B155" s="34" t="s">
        <v>116</v>
      </c>
      <c r="C155" s="20" t="s">
        <v>6</v>
      </c>
      <c r="D155" s="17">
        <v>6</v>
      </c>
      <c r="E155" s="134"/>
      <c r="F155" s="113">
        <f>E155*D155</f>
        <v>0</v>
      </c>
    </row>
    <row r="156" spans="1:6" s="5" customFormat="1" ht="12.75" x14ac:dyDescent="0.25">
      <c r="A156" s="129"/>
      <c r="B156" s="34"/>
      <c r="C156" s="135"/>
      <c r="D156" s="133"/>
      <c r="E156" s="50"/>
      <c r="F156" s="128"/>
    </row>
    <row r="157" spans="1:6" s="5" customFormat="1" ht="12.75" x14ac:dyDescent="0.25">
      <c r="A157" s="93" t="str">
        <f>A$149&amp;"."&amp;COUNTA(C$149:C157)</f>
        <v>2.7.3</v>
      </c>
      <c r="B157" s="34" t="s">
        <v>117</v>
      </c>
      <c r="C157" s="20" t="s">
        <v>6</v>
      </c>
      <c r="D157" s="17">
        <v>5</v>
      </c>
      <c r="E157" s="134"/>
      <c r="F157" s="113">
        <f>E157*D157</f>
        <v>0</v>
      </c>
    </row>
    <row r="158" spans="1:6" s="5" customFormat="1" ht="12.75" x14ac:dyDescent="0.25">
      <c r="A158" s="129"/>
      <c r="B158" s="34"/>
      <c r="C158" s="135"/>
      <c r="D158" s="133"/>
      <c r="E158" s="50"/>
      <c r="F158" s="128"/>
    </row>
    <row r="159" spans="1:6" s="5" customFormat="1" ht="12.75" x14ac:dyDescent="0.25">
      <c r="A159" s="93" t="str">
        <f>A$149&amp;"."&amp;COUNTA(C$149:C159)</f>
        <v>2.7.4</v>
      </c>
      <c r="B159" s="34" t="s">
        <v>118</v>
      </c>
      <c r="C159" s="20" t="s">
        <v>6</v>
      </c>
      <c r="D159" s="17">
        <v>18</v>
      </c>
      <c r="E159" s="134"/>
      <c r="F159" s="113">
        <f>E159*D159</f>
        <v>0</v>
      </c>
    </row>
    <row r="160" spans="1:6" s="5" customFormat="1" ht="12.75" x14ac:dyDescent="0.25">
      <c r="A160" s="129"/>
      <c r="B160" s="34"/>
      <c r="C160" s="135"/>
      <c r="D160" s="133"/>
      <c r="E160" s="50"/>
      <c r="F160" s="128"/>
    </row>
    <row r="161" spans="1:6" s="5" customFormat="1" ht="12.75" x14ac:dyDescent="0.25">
      <c r="A161" s="93" t="str">
        <f>A$149&amp;"."&amp;COUNTA(C$149:C161)</f>
        <v>2.7.5</v>
      </c>
      <c r="B161" s="34" t="s">
        <v>119</v>
      </c>
      <c r="C161" s="20" t="s">
        <v>6</v>
      </c>
      <c r="D161" s="17">
        <v>30</v>
      </c>
      <c r="E161" s="134"/>
      <c r="F161" s="113">
        <f>E161*D161</f>
        <v>0</v>
      </c>
    </row>
    <row r="162" spans="1:6" s="5" customFormat="1" ht="12.75" x14ac:dyDescent="0.25">
      <c r="A162" s="129"/>
      <c r="B162" s="34"/>
      <c r="C162" s="135"/>
      <c r="D162" s="133"/>
      <c r="E162" s="50"/>
      <c r="F162" s="128"/>
    </row>
    <row r="163" spans="1:6" s="5" customFormat="1" ht="12.75" x14ac:dyDescent="0.25">
      <c r="A163" s="93" t="str">
        <f>A$149&amp;"."&amp;COUNTA(C$149:C163)</f>
        <v>2.7.6</v>
      </c>
      <c r="B163" s="34" t="s">
        <v>120</v>
      </c>
      <c r="C163" s="20" t="s">
        <v>6</v>
      </c>
      <c r="D163" s="17">
        <v>7</v>
      </c>
      <c r="E163" s="134"/>
      <c r="F163" s="113">
        <f>E163*D163</f>
        <v>0</v>
      </c>
    </row>
    <row r="164" spans="1:6" s="5" customFormat="1" ht="12.75" x14ac:dyDescent="0.25">
      <c r="A164" s="129"/>
      <c r="B164" s="34"/>
      <c r="C164" s="135"/>
      <c r="D164" s="133"/>
      <c r="E164" s="50"/>
      <c r="F164" s="128"/>
    </row>
    <row r="165" spans="1:6" s="5" customFormat="1" ht="12.75" x14ac:dyDescent="0.25">
      <c r="A165" s="159">
        <v>2.8</v>
      </c>
      <c r="B165" s="125" t="s">
        <v>113</v>
      </c>
      <c r="C165" s="135"/>
      <c r="D165" s="133"/>
      <c r="E165" s="50"/>
      <c r="F165" s="128"/>
    </row>
    <row r="166" spans="1:6" s="5" customFormat="1" ht="12.75" x14ac:dyDescent="0.25">
      <c r="A166" s="129"/>
      <c r="B166" s="34"/>
      <c r="C166" s="135"/>
      <c r="D166" s="133"/>
      <c r="E166" s="50"/>
      <c r="F166" s="128"/>
    </row>
    <row r="167" spans="1:6" s="5" customFormat="1" ht="25.5" x14ac:dyDescent="0.25">
      <c r="A167" s="93"/>
      <c r="B167" s="180" t="s">
        <v>114</v>
      </c>
      <c r="C167" s="135"/>
      <c r="D167" s="133"/>
      <c r="E167" s="50"/>
      <c r="F167" s="128"/>
    </row>
    <row r="168" spans="1:6" s="5" customFormat="1" ht="12.75" x14ac:dyDescent="0.25">
      <c r="A168" s="129"/>
      <c r="B168" s="34"/>
      <c r="C168" s="135"/>
      <c r="D168" s="133"/>
      <c r="E168" s="50"/>
      <c r="F168" s="128"/>
    </row>
    <row r="169" spans="1:6" s="5" customFormat="1" ht="12.75" x14ac:dyDescent="0.25">
      <c r="A169" s="129"/>
      <c r="B169" s="179" t="s">
        <v>121</v>
      </c>
      <c r="C169" s="135"/>
      <c r="D169" s="133"/>
      <c r="E169" s="50"/>
      <c r="F169" s="128"/>
    </row>
    <row r="170" spans="1:6" s="5" customFormat="1" ht="12.75" x14ac:dyDescent="0.25">
      <c r="A170" s="129"/>
      <c r="B170" s="34"/>
      <c r="C170" s="135"/>
      <c r="D170" s="133"/>
      <c r="E170" s="50"/>
      <c r="F170" s="128"/>
    </row>
    <row r="171" spans="1:6" s="5" customFormat="1" ht="12.75" x14ac:dyDescent="0.25">
      <c r="A171" s="93" t="str">
        <f>A$165&amp;"."&amp;COUNTA(C$165:C171)</f>
        <v>2.8.1</v>
      </c>
      <c r="B171" s="34" t="s">
        <v>112</v>
      </c>
      <c r="C171" s="20" t="s">
        <v>2</v>
      </c>
      <c r="D171" s="17">
        <v>1</v>
      </c>
      <c r="E171" s="134"/>
      <c r="F171" s="113">
        <f>E171*D171</f>
        <v>0</v>
      </c>
    </row>
    <row r="172" spans="1:6" s="5" customFormat="1" ht="12.75" x14ac:dyDescent="0.25">
      <c r="A172" s="129"/>
      <c r="B172" s="34"/>
      <c r="C172" s="135"/>
      <c r="D172" s="133"/>
      <c r="E172" s="50"/>
      <c r="F172" s="128"/>
    </row>
    <row r="173" spans="1:6" s="5" customFormat="1" ht="12.75" x14ac:dyDescent="0.25">
      <c r="A173" s="93" t="str">
        <f>A$165&amp;"."&amp;COUNTA(C$165:C173)</f>
        <v>2.8.2</v>
      </c>
      <c r="B173" s="34" t="s">
        <v>109</v>
      </c>
      <c r="C173" s="20" t="s">
        <v>2</v>
      </c>
      <c r="D173" s="17">
        <v>4</v>
      </c>
      <c r="E173" s="134"/>
      <c r="F173" s="113">
        <f>E173*D173</f>
        <v>0</v>
      </c>
    </row>
    <row r="174" spans="1:6" s="5" customFormat="1" ht="12.75" x14ac:dyDescent="0.25">
      <c r="A174" s="129"/>
      <c r="B174" s="34"/>
      <c r="C174" s="135"/>
      <c r="D174" s="133"/>
      <c r="E174" s="50"/>
      <c r="F174" s="128"/>
    </row>
    <row r="175" spans="1:6" s="5" customFormat="1" ht="12.75" x14ac:dyDescent="0.25">
      <c r="A175" s="93" t="str">
        <f>A$165&amp;"."&amp;COUNTA(C$165:C175)</f>
        <v>2.8.3</v>
      </c>
      <c r="B175" s="34" t="s">
        <v>110</v>
      </c>
      <c r="C175" s="20" t="s">
        <v>2</v>
      </c>
      <c r="D175" s="17">
        <v>4</v>
      </c>
      <c r="E175" s="134"/>
      <c r="F175" s="113">
        <f>E175*D175</f>
        <v>0</v>
      </c>
    </row>
    <row r="176" spans="1:6" s="5" customFormat="1" ht="12.75" x14ac:dyDescent="0.25">
      <c r="A176" s="129"/>
      <c r="B176" s="34"/>
      <c r="C176" s="135"/>
      <c r="D176" s="133"/>
      <c r="E176" s="50"/>
      <c r="F176" s="128"/>
    </row>
    <row r="177" spans="1:6" s="5" customFormat="1" ht="12.75" x14ac:dyDescent="0.25">
      <c r="A177" s="129"/>
      <c r="B177" s="179" t="s">
        <v>122</v>
      </c>
      <c r="C177" s="135"/>
      <c r="D177" s="133"/>
      <c r="E177" s="50"/>
      <c r="F177" s="128"/>
    </row>
    <row r="178" spans="1:6" s="5" customFormat="1" ht="12.75" x14ac:dyDescent="0.25">
      <c r="A178" s="129"/>
      <c r="B178" s="34"/>
      <c r="C178" s="135"/>
      <c r="D178" s="133"/>
      <c r="E178" s="50"/>
      <c r="F178" s="128"/>
    </row>
    <row r="179" spans="1:6" s="5" customFormat="1" ht="12.75" x14ac:dyDescent="0.25">
      <c r="A179" s="93" t="str">
        <f>A$165&amp;"."&amp;COUNTA(C$165:C179)</f>
        <v>2.8.4</v>
      </c>
      <c r="B179" s="34" t="s">
        <v>111</v>
      </c>
      <c r="C179" s="20" t="s">
        <v>2</v>
      </c>
      <c r="D179" s="17">
        <v>1</v>
      </c>
      <c r="E179" s="134"/>
      <c r="F179" s="113">
        <f>E179*D179</f>
        <v>0</v>
      </c>
    </row>
    <row r="180" spans="1:6" s="5" customFormat="1" ht="12.75" x14ac:dyDescent="0.25">
      <c r="A180" s="129"/>
      <c r="B180" s="34"/>
      <c r="C180" s="135"/>
      <c r="D180" s="133"/>
      <c r="E180" s="50"/>
      <c r="F180" s="128"/>
    </row>
    <row r="181" spans="1:6" s="5" customFormat="1" ht="12.75" x14ac:dyDescent="0.25">
      <c r="A181" s="93" t="str">
        <f>A$165&amp;"."&amp;COUNTA(C$165:C181)</f>
        <v>2.8.5</v>
      </c>
      <c r="B181" s="34" t="s">
        <v>112</v>
      </c>
      <c r="C181" s="20" t="s">
        <v>2</v>
      </c>
      <c r="D181" s="17">
        <v>1</v>
      </c>
      <c r="E181" s="134"/>
      <c r="F181" s="113">
        <f>E181*D181</f>
        <v>0</v>
      </c>
    </row>
    <row r="182" spans="1:6" s="5" customFormat="1" ht="12.75" x14ac:dyDescent="0.25">
      <c r="A182" s="129"/>
      <c r="B182" s="34"/>
      <c r="C182" s="135"/>
      <c r="D182" s="133"/>
      <c r="E182" s="50"/>
      <c r="F182" s="128"/>
    </row>
    <row r="183" spans="1:6" s="5" customFormat="1" ht="12.75" x14ac:dyDescent="0.25">
      <c r="A183" s="93" t="str">
        <f>A$165&amp;"."&amp;COUNTA(C$165:C183)</f>
        <v>2.8.6</v>
      </c>
      <c r="B183" s="34" t="s">
        <v>109</v>
      </c>
      <c r="C183" s="20" t="s">
        <v>2</v>
      </c>
      <c r="D183" s="17">
        <v>1</v>
      </c>
      <c r="E183" s="134"/>
      <c r="F183" s="113">
        <f>E183*D183</f>
        <v>0</v>
      </c>
    </row>
    <row r="184" spans="1:6" s="5" customFormat="1" ht="12.75" x14ac:dyDescent="0.25">
      <c r="A184" s="129"/>
      <c r="B184" s="34"/>
      <c r="C184" s="135"/>
      <c r="D184" s="133"/>
      <c r="E184" s="50"/>
      <c r="F184" s="128"/>
    </row>
    <row r="185" spans="1:6" s="5" customFormat="1" ht="12.75" x14ac:dyDescent="0.25">
      <c r="A185" s="129"/>
      <c r="B185" s="179" t="s">
        <v>123</v>
      </c>
      <c r="C185" s="135"/>
      <c r="D185" s="133"/>
      <c r="E185" s="50"/>
      <c r="F185" s="128"/>
    </row>
    <row r="186" spans="1:6" s="5" customFormat="1" ht="12.75" x14ac:dyDescent="0.25">
      <c r="A186" s="129"/>
      <c r="B186" s="34"/>
      <c r="C186" s="135"/>
      <c r="D186" s="133"/>
      <c r="E186" s="50"/>
      <c r="F186" s="128"/>
    </row>
    <row r="187" spans="1:6" s="5" customFormat="1" ht="12.75" x14ac:dyDescent="0.25">
      <c r="A187" s="93" t="str">
        <f>A$165&amp;"."&amp;COUNTA(C$165:C187)</f>
        <v>2.8.7</v>
      </c>
      <c r="B187" s="34" t="s">
        <v>126</v>
      </c>
      <c r="C187" s="20" t="s">
        <v>2</v>
      </c>
      <c r="D187" s="17">
        <v>1</v>
      </c>
      <c r="E187" s="134"/>
      <c r="F187" s="113">
        <f>E187*D187</f>
        <v>0</v>
      </c>
    </row>
    <row r="188" spans="1:6" s="5" customFormat="1" ht="12.75" x14ac:dyDescent="0.25">
      <c r="A188" s="129"/>
      <c r="B188" s="34"/>
      <c r="C188" s="135"/>
      <c r="D188" s="133"/>
      <c r="E188" s="50"/>
      <c r="F188" s="128"/>
    </row>
    <row r="189" spans="1:6" s="5" customFormat="1" ht="12.75" x14ac:dyDescent="0.25">
      <c r="A189" s="93" t="str">
        <f>A$165&amp;"."&amp;COUNTA(C$165:C189)</f>
        <v>2.8.8</v>
      </c>
      <c r="B189" s="34" t="s">
        <v>125</v>
      </c>
      <c r="C189" s="20" t="s">
        <v>2</v>
      </c>
      <c r="D189" s="17">
        <v>1</v>
      </c>
      <c r="E189" s="134"/>
      <c r="F189" s="113">
        <f>E189*D189</f>
        <v>0</v>
      </c>
    </row>
    <row r="190" spans="1:6" s="5" customFormat="1" ht="12.75" x14ac:dyDescent="0.25">
      <c r="A190" s="129"/>
      <c r="B190" s="34"/>
      <c r="C190" s="135"/>
      <c r="D190" s="133"/>
      <c r="E190" s="50"/>
      <c r="F190" s="128"/>
    </row>
    <row r="191" spans="1:6" s="5" customFormat="1" ht="12.75" x14ac:dyDescent="0.25">
      <c r="A191" s="93" t="str">
        <f>A$165&amp;"."&amp;COUNTA(C$165:C191)</f>
        <v>2.8.9</v>
      </c>
      <c r="B191" s="34" t="s">
        <v>124</v>
      </c>
      <c r="C191" s="20" t="s">
        <v>2</v>
      </c>
      <c r="D191" s="17">
        <v>1</v>
      </c>
      <c r="E191" s="134"/>
      <c r="F191" s="113">
        <f>E191*D191</f>
        <v>0</v>
      </c>
    </row>
    <row r="192" spans="1:6" s="5" customFormat="1" ht="12.75" x14ac:dyDescent="0.25">
      <c r="A192" s="129"/>
      <c r="B192" s="34"/>
      <c r="C192" s="135"/>
      <c r="D192" s="133"/>
      <c r="E192" s="50"/>
      <c r="F192" s="128"/>
    </row>
    <row r="193" spans="1:6" s="5" customFormat="1" ht="12.75" x14ac:dyDescent="0.25">
      <c r="A193" s="93" t="str">
        <f>A$165&amp;"."&amp;COUNTA(C$165:C193)</f>
        <v>2.8.10</v>
      </c>
      <c r="B193" s="34" t="s">
        <v>127</v>
      </c>
      <c r="C193" s="20" t="s">
        <v>2</v>
      </c>
      <c r="D193" s="17">
        <v>1</v>
      </c>
      <c r="E193" s="134"/>
      <c r="F193" s="113">
        <f>E193*D193</f>
        <v>0</v>
      </c>
    </row>
    <row r="194" spans="1:6" s="5" customFormat="1" ht="12.75" x14ac:dyDescent="0.25">
      <c r="A194" s="129"/>
      <c r="B194" s="34"/>
      <c r="C194" s="135"/>
      <c r="D194" s="133"/>
      <c r="E194" s="50"/>
      <c r="F194" s="128"/>
    </row>
    <row r="195" spans="1:6" s="5" customFormat="1" ht="12.75" x14ac:dyDescent="0.25">
      <c r="A195" s="93" t="str">
        <f>A$165&amp;"."&amp;COUNTA(C$165:C195)</f>
        <v>2.8.11</v>
      </c>
      <c r="B195" s="34" t="s">
        <v>128</v>
      </c>
      <c r="C195" s="20" t="s">
        <v>2</v>
      </c>
      <c r="D195" s="17">
        <v>3</v>
      </c>
      <c r="E195" s="134"/>
      <c r="F195" s="113">
        <f>E195*D195</f>
        <v>0</v>
      </c>
    </row>
    <row r="196" spans="1:6" s="5" customFormat="1" ht="12.75" x14ac:dyDescent="0.25">
      <c r="A196" s="129"/>
      <c r="B196" s="34"/>
      <c r="C196" s="135"/>
      <c r="D196" s="133"/>
      <c r="E196" s="50"/>
      <c r="F196" s="128"/>
    </row>
    <row r="197" spans="1:6" s="5" customFormat="1" ht="12.75" x14ac:dyDescent="0.25">
      <c r="A197" s="93" t="str">
        <f>A$165&amp;"."&amp;COUNTA(C$165:C197)</f>
        <v>2.8.12</v>
      </c>
      <c r="B197" s="34" t="s">
        <v>129</v>
      </c>
      <c r="C197" s="20" t="s">
        <v>2</v>
      </c>
      <c r="D197" s="17">
        <v>6</v>
      </c>
      <c r="E197" s="134"/>
      <c r="F197" s="113">
        <f>E197*D197</f>
        <v>0</v>
      </c>
    </row>
    <row r="198" spans="1:6" s="5" customFormat="1" ht="12.75" x14ac:dyDescent="0.25">
      <c r="A198" s="129"/>
      <c r="B198" s="34"/>
      <c r="C198" s="135"/>
      <c r="D198" s="133"/>
      <c r="E198" s="50"/>
      <c r="F198" s="128"/>
    </row>
    <row r="199" spans="1:6" s="5" customFormat="1" ht="12.75" x14ac:dyDescent="0.25">
      <c r="A199" s="129"/>
      <c r="B199" s="34"/>
      <c r="C199" s="135"/>
      <c r="D199" s="133"/>
      <c r="E199" s="50"/>
      <c r="F199" s="128"/>
    </row>
    <row r="200" spans="1:6" s="5" customFormat="1" ht="12.75" x14ac:dyDescent="0.25">
      <c r="A200" s="129"/>
      <c r="B200" s="34"/>
      <c r="C200" s="135"/>
      <c r="D200" s="133"/>
      <c r="E200" s="50"/>
      <c r="F200" s="128"/>
    </row>
    <row r="201" spans="1:6" s="5" customFormat="1" ht="12.75" x14ac:dyDescent="0.25">
      <c r="A201" s="129"/>
      <c r="B201" s="34"/>
      <c r="C201" s="135"/>
      <c r="D201" s="133"/>
      <c r="E201" s="50"/>
      <c r="F201" s="128"/>
    </row>
    <row r="202" spans="1:6" s="5" customFormat="1" ht="12.75" x14ac:dyDescent="0.25">
      <c r="A202" s="129"/>
      <c r="B202" s="34"/>
      <c r="C202" s="135"/>
      <c r="D202" s="133"/>
      <c r="E202" s="50"/>
      <c r="F202" s="128"/>
    </row>
    <row r="203" spans="1:6" s="5" customFormat="1" ht="12.75" x14ac:dyDescent="0.25">
      <c r="A203" s="129"/>
      <c r="B203" s="34"/>
      <c r="C203" s="135"/>
      <c r="D203" s="133"/>
      <c r="E203" s="50"/>
      <c r="F203" s="128"/>
    </row>
    <row r="204" spans="1:6" s="5" customFormat="1" x14ac:dyDescent="0.25">
      <c r="A204" s="98"/>
      <c r="B204" s="102" t="s">
        <v>23</v>
      </c>
      <c r="C204" s="99"/>
      <c r="D204" s="99"/>
      <c r="E204" s="100"/>
      <c r="F204" s="112">
        <f>SUBTOTAL(9,F$4:F203)</f>
        <v>0</v>
      </c>
    </row>
    <row r="205" spans="1:6" s="5" customFormat="1" x14ac:dyDescent="0.25">
      <c r="A205" s="160"/>
      <c r="B205" s="161" t="s">
        <v>24</v>
      </c>
      <c r="C205" s="162"/>
      <c r="D205" s="162"/>
      <c r="E205" s="163"/>
      <c r="F205" s="164">
        <f>SUBTOTAL(9,F$4:F204)</f>
        <v>0</v>
      </c>
    </row>
    <row r="206" spans="1:6" s="5" customFormat="1" ht="12.75" x14ac:dyDescent="0.25">
      <c r="A206" s="129"/>
      <c r="B206" s="34"/>
      <c r="C206" s="135"/>
      <c r="D206" s="133"/>
      <c r="E206" s="50"/>
      <c r="F206" s="128"/>
    </row>
    <row r="207" spans="1:6" s="5" customFormat="1" ht="12.75" x14ac:dyDescent="0.25">
      <c r="A207" s="159">
        <v>2.9</v>
      </c>
      <c r="B207" s="29" t="s">
        <v>26</v>
      </c>
      <c r="C207" s="18"/>
      <c r="D207" s="17"/>
      <c r="E207" s="134"/>
      <c r="F207" s="113"/>
    </row>
    <row r="208" spans="1:6" s="5" customFormat="1" ht="12.75" x14ac:dyDescent="0.25">
      <c r="A208" s="129"/>
      <c r="B208" s="34"/>
      <c r="C208" s="19"/>
      <c r="D208" s="19"/>
      <c r="E208" s="19"/>
      <c r="F208" s="136"/>
    </row>
    <row r="209" spans="1:6" s="5" customFormat="1" ht="38.25" x14ac:dyDescent="0.25">
      <c r="A209" s="93" t="str">
        <f>A$207&amp;"."&amp;COUNTA(C$207:C209)</f>
        <v>2.9.1</v>
      </c>
      <c r="B209" s="118" t="s">
        <v>49</v>
      </c>
      <c r="C209" s="20" t="s">
        <v>0</v>
      </c>
      <c r="D209" s="17">
        <v>1</v>
      </c>
      <c r="E209" s="134"/>
      <c r="F209" s="113">
        <f>E209*D209</f>
        <v>0</v>
      </c>
    </row>
    <row r="210" spans="1:6" s="5" customFormat="1" ht="12.75" x14ac:dyDescent="0.25">
      <c r="A210" s="129"/>
      <c r="B210" s="118"/>
      <c r="C210" s="18"/>
      <c r="D210" s="17"/>
      <c r="E210" s="134"/>
      <c r="F210" s="113"/>
    </row>
    <row r="211" spans="1:6" s="5" customFormat="1" ht="12.75" x14ac:dyDescent="0.25">
      <c r="A211" s="182" t="s">
        <v>130</v>
      </c>
      <c r="B211" s="49" t="s">
        <v>51</v>
      </c>
      <c r="C211" s="16"/>
      <c r="D211" s="16"/>
      <c r="E211" s="76"/>
      <c r="F211" s="77"/>
    </row>
    <row r="212" spans="1:6" s="5" customFormat="1" ht="12.75" x14ac:dyDescent="0.25">
      <c r="A212" s="48"/>
      <c r="B212" s="118"/>
      <c r="C212" s="18"/>
      <c r="D212" s="17"/>
      <c r="E212" s="134"/>
      <c r="F212" s="113"/>
    </row>
    <row r="213" spans="1:6" s="5" customFormat="1" ht="25.5" x14ac:dyDescent="0.25">
      <c r="A213" s="93" t="str">
        <f>A$211&amp;"."&amp;COUNTA(C$211:C213)</f>
        <v>2.10.1</v>
      </c>
      <c r="B213" s="144" t="s">
        <v>57</v>
      </c>
      <c r="C213" s="20" t="s">
        <v>0</v>
      </c>
      <c r="D213" s="17"/>
      <c r="E213" s="134"/>
      <c r="F213" s="113"/>
    </row>
    <row r="214" spans="1:6" s="5" customFormat="1" ht="12.75" x14ac:dyDescent="0.25">
      <c r="A214" s="48"/>
      <c r="B214" s="118"/>
      <c r="C214" s="18"/>
      <c r="D214" s="17"/>
      <c r="E214" s="134"/>
      <c r="F214" s="113"/>
    </row>
    <row r="215" spans="1:6" s="5" customFormat="1" ht="25.5" x14ac:dyDescent="0.25">
      <c r="A215" s="93" t="str">
        <f>A$211&amp;"."&amp;COUNTA(C$211:C215)</f>
        <v>2.10.2</v>
      </c>
      <c r="B215" s="144" t="s">
        <v>57</v>
      </c>
      <c r="C215" s="20" t="s">
        <v>0</v>
      </c>
      <c r="D215" s="17"/>
      <c r="E215" s="134"/>
      <c r="F215" s="113"/>
    </row>
    <row r="216" spans="1:6" s="5" customFormat="1" ht="12.75" x14ac:dyDescent="0.25">
      <c r="A216" s="48"/>
      <c r="B216" s="118"/>
      <c r="C216" s="18"/>
      <c r="D216" s="17"/>
      <c r="E216" s="134"/>
      <c r="F216" s="113"/>
    </row>
    <row r="217" spans="1:6" s="5" customFormat="1" ht="25.5" x14ac:dyDescent="0.25">
      <c r="A217" s="93" t="str">
        <f>A$211&amp;"."&amp;COUNTA(C$211:C217)</f>
        <v>2.10.3</v>
      </c>
      <c r="B217" s="144" t="s">
        <v>57</v>
      </c>
      <c r="C217" s="20" t="s">
        <v>0</v>
      </c>
      <c r="D217" s="17"/>
      <c r="E217" s="134"/>
      <c r="F217" s="113"/>
    </row>
    <row r="218" spans="1:6" s="5" customFormat="1" ht="12.75" x14ac:dyDescent="0.25">
      <c r="A218" s="93"/>
      <c r="B218" s="118"/>
      <c r="C218" s="18"/>
      <c r="D218" s="17"/>
      <c r="E218" s="134"/>
      <c r="F218" s="113"/>
    </row>
    <row r="219" spans="1:6" s="5" customFormat="1" ht="12.75" x14ac:dyDescent="0.25">
      <c r="A219" s="93"/>
      <c r="B219" s="118"/>
      <c r="C219" s="18"/>
      <c r="D219" s="17"/>
      <c r="E219" s="134"/>
      <c r="F219" s="113"/>
    </row>
    <row r="220" spans="1:6" s="5" customFormat="1" ht="12.75" x14ac:dyDescent="0.25">
      <c r="A220" s="93"/>
      <c r="B220" s="118"/>
      <c r="C220" s="18"/>
      <c r="D220" s="17"/>
      <c r="E220" s="134"/>
      <c r="F220" s="113"/>
    </row>
    <row r="221" spans="1:6" s="5" customFormat="1" ht="12.75" x14ac:dyDescent="0.25">
      <c r="A221" s="93"/>
      <c r="B221" s="118"/>
      <c r="C221" s="18"/>
      <c r="D221" s="17"/>
      <c r="E221" s="134"/>
      <c r="F221" s="113"/>
    </row>
    <row r="222" spans="1:6" s="5" customFormat="1" ht="12.75" x14ac:dyDescent="0.25">
      <c r="A222" s="93"/>
      <c r="B222" s="118"/>
      <c r="C222" s="18"/>
      <c r="D222" s="17"/>
      <c r="E222" s="134"/>
      <c r="F222" s="113"/>
    </row>
    <row r="223" spans="1:6" s="5" customFormat="1" ht="12.75" x14ac:dyDescent="0.25">
      <c r="A223" s="93"/>
      <c r="B223" s="118"/>
      <c r="C223" s="18"/>
      <c r="D223" s="17"/>
      <c r="E223" s="134"/>
      <c r="F223" s="113"/>
    </row>
    <row r="224" spans="1:6" s="5" customFormat="1" ht="12.75" x14ac:dyDescent="0.25">
      <c r="A224" s="93"/>
      <c r="B224" s="118"/>
      <c r="C224" s="18"/>
      <c r="D224" s="17"/>
      <c r="E224" s="134"/>
      <c r="F224" s="113"/>
    </row>
    <row r="225" spans="1:6" s="5" customFormat="1" ht="12.75" x14ac:dyDescent="0.25">
      <c r="A225" s="93"/>
      <c r="B225" s="118"/>
      <c r="C225" s="18"/>
      <c r="D225" s="17"/>
      <c r="E225" s="134"/>
      <c r="F225" s="113"/>
    </row>
    <row r="226" spans="1:6" s="5" customFormat="1" ht="12.75" x14ac:dyDescent="0.25">
      <c r="A226" s="93"/>
      <c r="B226" s="118"/>
      <c r="C226" s="18"/>
      <c r="D226" s="17"/>
      <c r="E226" s="134"/>
      <c r="F226" s="113"/>
    </row>
    <row r="227" spans="1:6" s="5" customFormat="1" ht="12.75" x14ac:dyDescent="0.25">
      <c r="A227" s="93"/>
      <c r="B227" s="118"/>
      <c r="C227" s="18"/>
      <c r="D227" s="17"/>
      <c r="E227" s="134"/>
      <c r="F227" s="113"/>
    </row>
    <row r="228" spans="1:6" s="5" customFormat="1" ht="12.75" x14ac:dyDescent="0.25">
      <c r="A228" s="93"/>
      <c r="B228" s="118"/>
      <c r="C228" s="18"/>
      <c r="D228" s="17"/>
      <c r="E228" s="134"/>
      <c r="F228" s="113"/>
    </row>
    <row r="229" spans="1:6" s="5" customFormat="1" ht="12.75" x14ac:dyDescent="0.25">
      <c r="A229" s="93"/>
      <c r="B229" s="118"/>
      <c r="C229" s="18"/>
      <c r="D229" s="17"/>
      <c r="E229" s="134"/>
      <c r="F229" s="113"/>
    </row>
    <row r="230" spans="1:6" s="5" customFormat="1" ht="12.75" x14ac:dyDescent="0.25">
      <c r="A230" s="93"/>
      <c r="B230" s="118"/>
      <c r="C230" s="18"/>
      <c r="D230" s="17"/>
      <c r="E230" s="134"/>
      <c r="F230" s="113"/>
    </row>
    <row r="231" spans="1:6" s="5" customFormat="1" ht="12.75" x14ac:dyDescent="0.25">
      <c r="A231" s="93"/>
      <c r="B231" s="118"/>
      <c r="C231" s="18"/>
      <c r="D231" s="17"/>
      <c r="E231" s="134"/>
      <c r="F231" s="113"/>
    </row>
    <row r="232" spans="1:6" s="5" customFormat="1" ht="12.75" x14ac:dyDescent="0.25">
      <c r="A232" s="93"/>
      <c r="B232" s="118"/>
      <c r="C232" s="18"/>
      <c r="D232" s="17"/>
      <c r="E232" s="134"/>
      <c r="F232" s="113"/>
    </row>
    <row r="233" spans="1:6" s="5" customFormat="1" ht="12.75" x14ac:dyDescent="0.25">
      <c r="A233" s="93"/>
      <c r="B233" s="118"/>
      <c r="C233" s="18"/>
      <c r="D233" s="17"/>
      <c r="E233" s="134"/>
      <c r="F233" s="113"/>
    </row>
    <row r="234" spans="1:6" s="5" customFormat="1" ht="12.75" x14ac:dyDescent="0.25">
      <c r="A234" s="93"/>
      <c r="B234" s="118"/>
      <c r="C234" s="18"/>
      <c r="D234" s="17"/>
      <c r="E234" s="134"/>
      <c r="F234" s="113"/>
    </row>
    <row r="235" spans="1:6" s="5" customFormat="1" ht="12.75" x14ac:dyDescent="0.25">
      <c r="A235" s="93"/>
      <c r="B235" s="118"/>
      <c r="C235" s="18"/>
      <c r="D235" s="17"/>
      <c r="E235" s="134"/>
      <c r="F235" s="113"/>
    </row>
    <row r="236" spans="1:6" s="5" customFormat="1" ht="12.75" x14ac:dyDescent="0.25">
      <c r="A236" s="93"/>
      <c r="B236" s="118"/>
      <c r="C236" s="18"/>
      <c r="D236" s="17"/>
      <c r="E236" s="134"/>
      <c r="F236" s="113"/>
    </row>
    <row r="237" spans="1:6" s="5" customFormat="1" ht="12.75" x14ac:dyDescent="0.25">
      <c r="A237" s="93"/>
      <c r="B237" s="118"/>
      <c r="C237" s="18"/>
      <c r="D237" s="17"/>
      <c r="E237" s="134"/>
      <c r="F237" s="113"/>
    </row>
    <row r="238" spans="1:6" s="5" customFormat="1" ht="12.75" x14ac:dyDescent="0.25">
      <c r="A238" s="93"/>
      <c r="B238" s="118"/>
      <c r="C238" s="18"/>
      <c r="D238" s="17"/>
      <c r="E238" s="134"/>
      <c r="F238" s="113"/>
    </row>
    <row r="239" spans="1:6" s="5" customFormat="1" ht="12.75" x14ac:dyDescent="0.25">
      <c r="A239" s="93"/>
      <c r="B239" s="118"/>
      <c r="C239" s="18"/>
      <c r="D239" s="17"/>
      <c r="E239" s="134"/>
      <c r="F239" s="113"/>
    </row>
    <row r="240" spans="1:6" s="5" customFormat="1" ht="12.75" x14ac:dyDescent="0.25">
      <c r="A240" s="93"/>
      <c r="B240" s="118"/>
      <c r="C240" s="18"/>
      <c r="D240" s="17"/>
      <c r="E240" s="134"/>
      <c r="F240" s="113"/>
    </row>
    <row r="241" spans="1:6" s="5" customFormat="1" ht="12.75" x14ac:dyDescent="0.25">
      <c r="A241" s="93"/>
      <c r="B241" s="118"/>
      <c r="C241" s="18"/>
      <c r="D241" s="17"/>
      <c r="E241" s="134"/>
      <c r="F241" s="113"/>
    </row>
    <row r="242" spans="1:6" s="5" customFormat="1" ht="12.75" x14ac:dyDescent="0.25">
      <c r="A242" s="93"/>
      <c r="B242" s="118"/>
      <c r="C242" s="18"/>
      <c r="D242" s="17"/>
      <c r="E242" s="134"/>
      <c r="F242" s="113"/>
    </row>
    <row r="243" spans="1:6" s="5" customFormat="1" ht="12.75" x14ac:dyDescent="0.25">
      <c r="A243" s="93"/>
      <c r="B243" s="118"/>
      <c r="C243" s="18"/>
      <c r="D243" s="17"/>
      <c r="E243" s="134"/>
      <c r="F243" s="113"/>
    </row>
    <row r="244" spans="1:6" s="5" customFormat="1" ht="12.75" x14ac:dyDescent="0.25">
      <c r="A244" s="93"/>
      <c r="B244" s="118"/>
      <c r="C244" s="18"/>
      <c r="D244" s="17"/>
      <c r="E244" s="134"/>
      <c r="F244" s="113"/>
    </row>
    <row r="245" spans="1:6" s="5" customFormat="1" ht="12.75" x14ac:dyDescent="0.25">
      <c r="A245" s="93"/>
      <c r="B245" s="118"/>
      <c r="C245" s="18"/>
      <c r="D245" s="17"/>
      <c r="E245" s="134"/>
      <c r="F245" s="113"/>
    </row>
    <row r="246" spans="1:6" s="5" customFormat="1" ht="12.75" x14ac:dyDescent="0.25">
      <c r="A246" s="93"/>
      <c r="B246" s="118"/>
      <c r="C246" s="18"/>
      <c r="D246" s="17"/>
      <c r="E246" s="134"/>
      <c r="F246" s="113"/>
    </row>
    <row r="247" spans="1:6" s="5" customFormat="1" ht="12.75" x14ac:dyDescent="0.25">
      <c r="A247" s="93"/>
      <c r="B247" s="118"/>
      <c r="C247" s="18"/>
      <c r="D247" s="17"/>
      <c r="E247" s="134"/>
      <c r="F247" s="113"/>
    </row>
    <row r="248" spans="1:6" s="5" customFormat="1" ht="12.75" x14ac:dyDescent="0.25">
      <c r="A248" s="93"/>
      <c r="B248" s="118"/>
      <c r="C248" s="18"/>
      <c r="D248" s="17"/>
      <c r="E248" s="134"/>
      <c r="F248" s="113"/>
    </row>
    <row r="249" spans="1:6" s="5" customFormat="1" ht="12.75" x14ac:dyDescent="0.25">
      <c r="A249" s="93"/>
      <c r="B249" s="118"/>
      <c r="C249" s="18"/>
      <c r="D249" s="17"/>
      <c r="E249" s="134"/>
      <c r="F249" s="113"/>
    </row>
    <row r="250" spans="1:6" s="5" customFormat="1" ht="12.75" x14ac:dyDescent="0.25">
      <c r="A250" s="93"/>
      <c r="B250" s="118"/>
      <c r="C250" s="18"/>
      <c r="D250" s="17"/>
      <c r="E250" s="134"/>
      <c r="F250" s="113"/>
    </row>
    <row r="251" spans="1:6" s="5" customFormat="1" ht="12.75" x14ac:dyDescent="0.25">
      <c r="A251" s="93"/>
      <c r="B251" s="118"/>
      <c r="C251" s="18"/>
      <c r="D251" s="17"/>
      <c r="E251" s="134"/>
      <c r="F251" s="113"/>
    </row>
    <row r="252" spans="1:6" s="5" customFormat="1" ht="12.75" x14ac:dyDescent="0.25">
      <c r="A252" s="93"/>
      <c r="B252" s="118"/>
      <c r="C252" s="18"/>
      <c r="D252" s="17"/>
      <c r="E252" s="134"/>
      <c r="F252" s="113"/>
    </row>
    <row r="253" spans="1:6" s="5" customFormat="1" ht="12.75" x14ac:dyDescent="0.25">
      <c r="A253" s="93"/>
      <c r="B253" s="118"/>
      <c r="C253" s="18"/>
      <c r="D253" s="17"/>
      <c r="E253" s="134"/>
      <c r="F253" s="113"/>
    </row>
    <row r="254" spans="1:6" s="5" customFormat="1" ht="13.5" thickBot="1" x14ac:dyDescent="0.3">
      <c r="A254" s="93"/>
      <c r="B254" s="118"/>
      <c r="C254" s="18"/>
      <c r="D254" s="17"/>
      <c r="E254" s="134"/>
      <c r="F254" s="113"/>
    </row>
    <row r="255" spans="1:6" s="5" customFormat="1" ht="12.75" x14ac:dyDescent="0.25">
      <c r="A255" s="104"/>
      <c r="B255" s="94"/>
      <c r="C255" s="95"/>
      <c r="D255" s="95"/>
      <c r="E255" s="95"/>
      <c r="F255" s="114"/>
    </row>
    <row r="256" spans="1:6" s="5" customFormat="1" ht="12.75" x14ac:dyDescent="0.25">
      <c r="A256" s="53"/>
      <c r="B256" s="194" t="s">
        <v>52</v>
      </c>
      <c r="C256" s="194"/>
      <c r="D256" s="194"/>
      <c r="E256" s="195"/>
      <c r="F256" s="115">
        <f>SUM(F124:F254)</f>
        <v>0</v>
      </c>
    </row>
    <row r="257" spans="1:6" s="5" customFormat="1" ht="13.5" thickBot="1" x14ac:dyDescent="0.3">
      <c r="A257" s="105"/>
      <c r="B257" s="96"/>
      <c r="C257" s="97"/>
      <c r="D257" s="97"/>
      <c r="E257" s="97"/>
      <c r="F257" s="116"/>
    </row>
    <row r="258" spans="1:6" s="5" customFormat="1" x14ac:dyDescent="0.25">
      <c r="A258" s="1"/>
      <c r="B258" s="4"/>
      <c r="C258" s="1"/>
      <c r="D258" s="3"/>
      <c r="E258" s="2"/>
      <c r="F258" s="117"/>
    </row>
    <row r="259" spans="1:6" s="5" customFormat="1" x14ac:dyDescent="0.25">
      <c r="A259" s="1"/>
      <c r="B259" s="4"/>
      <c r="C259" s="1"/>
      <c r="D259" s="3"/>
      <c r="E259" s="2"/>
      <c r="F259" s="117"/>
    </row>
    <row r="260" spans="1:6" s="5" customFormat="1" x14ac:dyDescent="0.25">
      <c r="A260" s="1"/>
      <c r="B260" s="4"/>
      <c r="C260" s="1"/>
      <c r="D260" s="3"/>
      <c r="E260" s="2"/>
      <c r="F260" s="117"/>
    </row>
    <row r="261" spans="1:6" s="5" customFormat="1" x14ac:dyDescent="0.25">
      <c r="A261" s="1"/>
      <c r="B261" s="4"/>
      <c r="C261" s="1"/>
      <c r="D261" s="3"/>
      <c r="E261" s="2"/>
      <c r="F261" s="117"/>
    </row>
    <row r="262" spans="1:6" s="5" customFormat="1" x14ac:dyDescent="0.25">
      <c r="A262" s="1"/>
      <c r="B262" s="4"/>
      <c r="C262" s="1"/>
      <c r="D262" s="3"/>
      <c r="E262" s="2"/>
      <c r="F262" s="117"/>
    </row>
    <row r="263" spans="1:6" s="5" customFormat="1" x14ac:dyDescent="0.25">
      <c r="A263" s="1"/>
      <c r="B263" s="4"/>
      <c r="C263" s="1"/>
      <c r="D263" s="3"/>
      <c r="E263" s="2"/>
      <c r="F263" s="117"/>
    </row>
    <row r="264" spans="1:6" s="5" customFormat="1" x14ac:dyDescent="0.25">
      <c r="A264" s="1"/>
      <c r="B264" s="4"/>
      <c r="C264" s="1"/>
      <c r="D264" s="3"/>
      <c r="E264" s="2"/>
      <c r="F264" s="117"/>
    </row>
    <row r="265" spans="1:6" s="5" customFormat="1" x14ac:dyDescent="0.25">
      <c r="A265" s="1"/>
      <c r="B265" s="4"/>
      <c r="C265" s="1"/>
      <c r="D265" s="3"/>
      <c r="E265" s="2"/>
      <c r="F265" s="117"/>
    </row>
    <row r="266" spans="1:6" s="5" customFormat="1" x14ac:dyDescent="0.25">
      <c r="A266" s="1"/>
      <c r="B266" s="4"/>
      <c r="C266" s="1"/>
      <c r="D266" s="3"/>
      <c r="E266" s="2"/>
      <c r="F266" s="117"/>
    </row>
    <row r="267" spans="1:6" s="5" customFormat="1" x14ac:dyDescent="0.25">
      <c r="A267" s="1"/>
      <c r="B267" s="4"/>
      <c r="C267" s="1"/>
      <c r="D267" s="3"/>
      <c r="E267" s="2"/>
      <c r="F267" s="117"/>
    </row>
    <row r="268" spans="1:6" s="5" customFormat="1" x14ac:dyDescent="0.25">
      <c r="A268" s="1"/>
      <c r="B268" s="4"/>
      <c r="C268" s="1"/>
      <c r="D268" s="3"/>
      <c r="E268" s="2"/>
      <c r="F268" s="117"/>
    </row>
    <row r="269" spans="1:6" s="5" customFormat="1" x14ac:dyDescent="0.25">
      <c r="A269" s="1"/>
      <c r="B269" s="4"/>
      <c r="C269" s="1"/>
      <c r="D269" s="3"/>
      <c r="E269" s="2"/>
      <c r="F269" s="117"/>
    </row>
    <row r="270" spans="1:6" s="5" customFormat="1" x14ac:dyDescent="0.25">
      <c r="A270" s="1"/>
      <c r="B270" s="4"/>
      <c r="C270" s="1"/>
      <c r="D270" s="3"/>
      <c r="E270" s="2"/>
      <c r="F270" s="117"/>
    </row>
    <row r="271" spans="1:6" s="5" customFormat="1" x14ac:dyDescent="0.25">
      <c r="A271" s="1"/>
      <c r="B271" s="4"/>
      <c r="C271" s="1"/>
      <c r="D271" s="3"/>
      <c r="E271" s="2"/>
      <c r="F271" s="117"/>
    </row>
    <row r="272" spans="1:6" s="5" customFormat="1" x14ac:dyDescent="0.25">
      <c r="A272" s="1"/>
      <c r="B272" s="4"/>
      <c r="C272" s="1"/>
      <c r="D272" s="3"/>
      <c r="E272" s="2"/>
      <c r="F272" s="117"/>
    </row>
    <row r="273" spans="1:6" s="5" customFormat="1" x14ac:dyDescent="0.25">
      <c r="A273" s="1"/>
      <c r="B273" s="4"/>
      <c r="C273" s="1"/>
      <c r="D273" s="3"/>
      <c r="E273" s="2"/>
      <c r="F273" s="117"/>
    </row>
    <row r="274" spans="1:6" s="5" customFormat="1" x14ac:dyDescent="0.25">
      <c r="A274" s="1"/>
      <c r="B274" s="4"/>
      <c r="C274" s="1"/>
      <c r="D274" s="3"/>
      <c r="E274" s="2"/>
      <c r="F274" s="117"/>
    </row>
    <row r="275" spans="1:6" s="5" customFormat="1" x14ac:dyDescent="0.25">
      <c r="A275" s="1"/>
      <c r="B275" s="4"/>
      <c r="C275" s="1"/>
      <c r="D275" s="3"/>
      <c r="E275" s="2"/>
      <c r="F275" s="117"/>
    </row>
    <row r="276" spans="1:6" s="5" customFormat="1" x14ac:dyDescent="0.25">
      <c r="A276" s="1"/>
      <c r="B276" s="4"/>
      <c r="C276" s="1"/>
      <c r="D276" s="3"/>
      <c r="E276" s="2"/>
      <c r="F276" s="117"/>
    </row>
    <row r="277" spans="1:6" s="5" customFormat="1" x14ac:dyDescent="0.25">
      <c r="A277" s="1"/>
      <c r="B277" s="4"/>
      <c r="C277" s="1"/>
      <c r="D277" s="3"/>
      <c r="E277" s="2"/>
      <c r="F277" s="117"/>
    </row>
    <row r="278" spans="1:6" s="5" customFormat="1" x14ac:dyDescent="0.25">
      <c r="A278" s="1"/>
      <c r="B278" s="4"/>
      <c r="C278" s="1"/>
      <c r="D278" s="3"/>
      <c r="E278" s="2"/>
      <c r="F278" s="117"/>
    </row>
    <row r="279" spans="1:6" s="5" customFormat="1" x14ac:dyDescent="0.25">
      <c r="A279" s="1"/>
      <c r="B279" s="4"/>
      <c r="C279" s="1"/>
      <c r="D279" s="3"/>
      <c r="E279" s="2"/>
      <c r="F279" s="117"/>
    </row>
    <row r="280" spans="1:6" s="5" customFormat="1" x14ac:dyDescent="0.25">
      <c r="A280" s="1"/>
      <c r="B280" s="4"/>
      <c r="C280" s="1"/>
      <c r="D280" s="3"/>
      <c r="E280" s="2"/>
      <c r="F280" s="117"/>
    </row>
    <row r="281" spans="1:6" s="5" customFormat="1" x14ac:dyDescent="0.25">
      <c r="A281" s="1"/>
      <c r="B281" s="4"/>
      <c r="C281" s="1"/>
      <c r="D281" s="3"/>
      <c r="E281" s="2"/>
      <c r="F281" s="117"/>
    </row>
    <row r="282" spans="1:6" s="5" customFormat="1" x14ac:dyDescent="0.25">
      <c r="A282" s="1"/>
      <c r="B282" s="4"/>
      <c r="C282" s="1"/>
      <c r="D282" s="3"/>
      <c r="E282" s="2"/>
      <c r="F282" s="117"/>
    </row>
    <row r="283" spans="1:6" s="5" customFormat="1" x14ac:dyDescent="0.25">
      <c r="A283" s="1"/>
      <c r="B283" s="4"/>
      <c r="C283" s="1"/>
      <c r="D283" s="3"/>
      <c r="E283" s="2"/>
      <c r="F283" s="117"/>
    </row>
    <row r="284" spans="1:6" s="5" customFormat="1" x14ac:dyDescent="0.25">
      <c r="A284" s="1"/>
      <c r="B284" s="4"/>
      <c r="C284" s="1"/>
      <c r="D284" s="3"/>
      <c r="E284" s="2"/>
      <c r="F284" s="117"/>
    </row>
    <row r="285" spans="1:6" s="5" customFormat="1" x14ac:dyDescent="0.25">
      <c r="A285" s="1"/>
      <c r="B285" s="4"/>
      <c r="C285" s="1"/>
      <c r="D285" s="3"/>
      <c r="E285" s="2"/>
      <c r="F285" s="117"/>
    </row>
    <row r="286" spans="1:6" s="5" customFormat="1" x14ac:dyDescent="0.25">
      <c r="A286" s="1"/>
      <c r="B286" s="4"/>
      <c r="C286" s="1"/>
      <c r="D286" s="3"/>
      <c r="E286" s="2"/>
      <c r="F286" s="117"/>
    </row>
    <row r="287" spans="1:6" s="5" customFormat="1" x14ac:dyDescent="0.25">
      <c r="A287" s="1"/>
      <c r="B287" s="4"/>
      <c r="C287" s="1"/>
      <c r="D287" s="3"/>
      <c r="E287" s="2"/>
      <c r="F287" s="117"/>
    </row>
    <row r="288" spans="1:6" s="5" customFormat="1" x14ac:dyDescent="0.25">
      <c r="A288" s="1"/>
      <c r="B288" s="4"/>
      <c r="C288" s="1"/>
      <c r="D288" s="3"/>
      <c r="E288" s="2"/>
      <c r="F288" s="117"/>
    </row>
    <row r="289" spans="1:7" s="5" customFormat="1" x14ac:dyDescent="0.25">
      <c r="A289" s="1"/>
      <c r="B289" s="4"/>
      <c r="C289" s="1"/>
      <c r="D289" s="3"/>
      <c r="E289" s="2"/>
      <c r="F289" s="117"/>
    </row>
    <row r="290" spans="1:7" s="5" customFormat="1" x14ac:dyDescent="0.25">
      <c r="A290" s="1"/>
      <c r="B290" s="4"/>
      <c r="C290" s="1"/>
      <c r="D290" s="3"/>
      <c r="E290" s="2"/>
      <c r="F290" s="117"/>
      <c r="G290" s="6"/>
    </row>
    <row r="291" spans="1:7" s="5" customFormat="1" x14ac:dyDescent="0.25">
      <c r="A291" s="1"/>
      <c r="B291" s="4"/>
      <c r="C291" s="1"/>
      <c r="D291" s="3"/>
      <c r="E291" s="2"/>
      <c r="F291" s="117"/>
      <c r="G291" s="7"/>
    </row>
    <row r="292" spans="1:7" s="5" customFormat="1" x14ac:dyDescent="0.25">
      <c r="A292" s="1"/>
      <c r="B292" s="4"/>
      <c r="C292" s="1"/>
      <c r="D292" s="3"/>
      <c r="E292" s="2"/>
      <c r="F292" s="117"/>
      <c r="G292" s="6"/>
    </row>
    <row r="293" spans="1:7" s="5" customFormat="1" x14ac:dyDescent="0.25">
      <c r="A293" s="1"/>
      <c r="B293" s="4"/>
      <c r="C293" s="1"/>
      <c r="D293" s="3"/>
      <c r="E293" s="2"/>
      <c r="F293" s="117"/>
      <c r="G293" s="6"/>
    </row>
    <row r="294" spans="1:7" s="5" customFormat="1" x14ac:dyDescent="0.25">
      <c r="A294" s="1"/>
      <c r="B294" s="4"/>
      <c r="C294" s="1"/>
      <c r="D294" s="3"/>
      <c r="E294" s="2"/>
      <c r="F294" s="117"/>
      <c r="G294" s="6"/>
    </row>
    <row r="295" spans="1:7" s="5" customFormat="1" ht="15" x14ac:dyDescent="0.25">
      <c r="A295" s="1"/>
      <c r="B295" s="4"/>
      <c r="C295" s="1"/>
      <c r="D295" s="3"/>
      <c r="E295" s="2"/>
      <c r="F295" s="117"/>
      <c r="G295" s="8"/>
    </row>
    <row r="296" spans="1:7" s="5" customFormat="1" x14ac:dyDescent="0.25">
      <c r="A296" s="1"/>
      <c r="B296" s="4"/>
      <c r="C296" s="1"/>
      <c r="D296" s="3"/>
      <c r="E296" s="2"/>
      <c r="F296" s="117"/>
    </row>
    <row r="297" spans="1:7" s="5" customFormat="1" ht="15" x14ac:dyDescent="0.25">
      <c r="A297" s="1"/>
      <c r="B297" s="4"/>
      <c r="C297" s="1"/>
      <c r="D297" s="3"/>
      <c r="E297" s="2"/>
      <c r="F297" s="117"/>
      <c r="G297" s="8"/>
    </row>
    <row r="298" spans="1:7" s="5" customFormat="1" ht="15" x14ac:dyDescent="0.25">
      <c r="A298" s="1"/>
      <c r="B298" s="4"/>
      <c r="C298" s="1"/>
      <c r="D298" s="3"/>
      <c r="E298" s="2"/>
      <c r="F298" s="117"/>
      <c r="G298" s="8"/>
    </row>
    <row r="299" spans="1:7" s="5" customFormat="1" x14ac:dyDescent="0.25">
      <c r="A299" s="1"/>
      <c r="B299" s="4"/>
      <c r="C299" s="1"/>
      <c r="D299" s="3"/>
      <c r="E299" s="2"/>
      <c r="F299" s="117"/>
      <c r="G299" s="7"/>
    </row>
    <row r="300" spans="1:7" s="5" customFormat="1" ht="15" x14ac:dyDescent="0.25">
      <c r="A300" s="1"/>
      <c r="B300" s="4"/>
      <c r="C300" s="1"/>
      <c r="D300" s="3"/>
      <c r="E300" s="2"/>
      <c r="F300" s="117"/>
      <c r="G300" s="8"/>
    </row>
    <row r="301" spans="1:7" s="5" customFormat="1" ht="15" x14ac:dyDescent="0.25">
      <c r="A301" s="1"/>
      <c r="B301" s="4"/>
      <c r="C301" s="1"/>
      <c r="D301" s="3"/>
      <c r="E301" s="2"/>
      <c r="F301" s="117"/>
      <c r="G301" s="8"/>
    </row>
    <row r="302" spans="1:7" s="5" customFormat="1" ht="15" x14ac:dyDescent="0.25">
      <c r="A302" s="1"/>
      <c r="B302" s="4"/>
      <c r="C302" s="1"/>
      <c r="D302" s="3"/>
      <c r="E302" s="2"/>
      <c r="F302" s="117"/>
      <c r="G302" s="8"/>
    </row>
    <row r="303" spans="1:7" s="5" customFormat="1" ht="15" x14ac:dyDescent="0.25">
      <c r="A303" s="1"/>
      <c r="B303" s="4"/>
      <c r="C303" s="1"/>
      <c r="D303" s="3"/>
      <c r="E303" s="2"/>
      <c r="F303" s="117"/>
      <c r="G303" s="8"/>
    </row>
    <row r="304" spans="1:7" s="5" customFormat="1" ht="15" x14ac:dyDescent="0.25">
      <c r="A304" s="1"/>
      <c r="B304" s="4"/>
      <c r="C304" s="1"/>
      <c r="D304" s="3"/>
      <c r="E304" s="2"/>
      <c r="F304" s="117"/>
      <c r="G304" s="8"/>
    </row>
    <row r="305" spans="1:7" s="5" customFormat="1" ht="15" x14ac:dyDescent="0.25">
      <c r="A305" s="1"/>
      <c r="B305" s="4"/>
      <c r="C305" s="1"/>
      <c r="D305" s="3"/>
      <c r="E305" s="2"/>
      <c r="F305" s="117"/>
      <c r="G305" s="8"/>
    </row>
    <row r="306" spans="1:7" s="5" customFormat="1" ht="15" x14ac:dyDescent="0.25">
      <c r="A306" s="1"/>
      <c r="B306" s="4"/>
      <c r="C306" s="1"/>
      <c r="D306" s="3"/>
      <c r="E306" s="2"/>
      <c r="F306" s="117"/>
      <c r="G306" s="8"/>
    </row>
    <row r="307" spans="1:7" s="5" customFormat="1" ht="15" x14ac:dyDescent="0.25">
      <c r="A307" s="1"/>
      <c r="B307" s="4"/>
      <c r="C307" s="1"/>
      <c r="D307" s="3"/>
      <c r="E307" s="2"/>
      <c r="F307" s="117"/>
      <c r="G307" s="8"/>
    </row>
    <row r="308" spans="1:7" s="5" customFormat="1" ht="15" x14ac:dyDescent="0.25">
      <c r="A308" s="1"/>
      <c r="B308" s="4"/>
      <c r="C308" s="1"/>
      <c r="D308" s="3"/>
      <c r="E308" s="2"/>
      <c r="F308" s="117"/>
      <c r="G308" s="8"/>
    </row>
    <row r="309" spans="1:7" s="5" customFormat="1" ht="15" x14ac:dyDescent="0.25">
      <c r="A309" s="1"/>
      <c r="B309" s="4"/>
      <c r="C309" s="1"/>
      <c r="D309" s="3"/>
      <c r="E309" s="2"/>
      <c r="F309" s="117"/>
      <c r="G309" s="8"/>
    </row>
    <row r="310" spans="1:7" s="5" customFormat="1" ht="15" x14ac:dyDescent="0.25">
      <c r="A310" s="1"/>
      <c r="B310" s="4"/>
      <c r="C310" s="1"/>
      <c r="D310" s="3"/>
      <c r="E310" s="2"/>
      <c r="F310" s="117"/>
      <c r="G310" s="8"/>
    </row>
    <row r="311" spans="1:7" s="5" customFormat="1" ht="15" x14ac:dyDescent="0.25">
      <c r="A311" s="1"/>
      <c r="B311" s="4"/>
      <c r="C311" s="1"/>
      <c r="D311" s="3"/>
      <c r="E311" s="2"/>
      <c r="F311" s="117"/>
      <c r="G311" s="8"/>
    </row>
    <row r="312" spans="1:7" s="5" customFormat="1" ht="15" x14ac:dyDescent="0.25">
      <c r="A312" s="1"/>
      <c r="B312" s="4"/>
      <c r="C312" s="1"/>
      <c r="D312" s="3"/>
      <c r="E312" s="2"/>
      <c r="F312" s="117"/>
      <c r="G312" s="8"/>
    </row>
    <row r="313" spans="1:7" s="5" customFormat="1" ht="15" x14ac:dyDescent="0.25">
      <c r="A313" s="1"/>
      <c r="B313" s="4"/>
      <c r="C313" s="1"/>
      <c r="D313" s="3"/>
      <c r="E313" s="2"/>
      <c r="F313" s="117"/>
      <c r="G313" s="8"/>
    </row>
    <row r="314" spans="1:7" s="5" customFormat="1" x14ac:dyDescent="0.25">
      <c r="A314" s="1"/>
      <c r="B314" s="4"/>
      <c r="C314" s="1"/>
      <c r="D314" s="3"/>
      <c r="E314" s="2"/>
      <c r="F314" s="117"/>
    </row>
    <row r="315" spans="1:7" s="5" customFormat="1" x14ac:dyDescent="0.25">
      <c r="A315" s="1"/>
      <c r="B315" s="4"/>
      <c r="C315" s="1"/>
      <c r="D315" s="3"/>
      <c r="E315" s="2"/>
      <c r="F315" s="117"/>
    </row>
    <row r="316" spans="1:7" s="5" customFormat="1" x14ac:dyDescent="0.25">
      <c r="A316" s="1"/>
      <c r="B316" s="4"/>
      <c r="C316" s="1"/>
      <c r="D316" s="3"/>
      <c r="E316" s="2"/>
      <c r="F316" s="117"/>
      <c r="G316" s="6"/>
    </row>
    <row r="317" spans="1:7" s="5" customFormat="1" x14ac:dyDescent="0.25">
      <c r="A317" s="1"/>
      <c r="B317" s="4"/>
      <c r="C317" s="1"/>
      <c r="D317" s="3"/>
      <c r="E317" s="2"/>
      <c r="F317" s="117"/>
      <c r="G317" s="6"/>
    </row>
    <row r="318" spans="1:7" s="5" customFormat="1" x14ac:dyDescent="0.25">
      <c r="A318" s="1"/>
      <c r="B318" s="4"/>
      <c r="C318" s="1"/>
      <c r="D318" s="3"/>
      <c r="E318" s="2"/>
      <c r="F318" s="117"/>
    </row>
    <row r="319" spans="1:7" s="5" customFormat="1" x14ac:dyDescent="0.25">
      <c r="A319" s="1"/>
      <c r="B319" s="4"/>
      <c r="C319" s="1"/>
      <c r="D319" s="3"/>
      <c r="E319" s="2"/>
      <c r="F319" s="117"/>
    </row>
    <row r="320" spans="1:7" s="5" customFormat="1" x14ac:dyDescent="0.25">
      <c r="A320" s="1"/>
      <c r="B320" s="4"/>
      <c r="C320" s="1"/>
      <c r="D320" s="3"/>
      <c r="E320" s="2"/>
      <c r="F320" s="117"/>
    </row>
    <row r="321" spans="1:6" s="5" customFormat="1" x14ac:dyDescent="0.25">
      <c r="A321" s="1"/>
      <c r="B321" s="4"/>
      <c r="C321" s="1"/>
      <c r="D321" s="3"/>
      <c r="E321" s="2"/>
      <c r="F321" s="117"/>
    </row>
    <row r="322" spans="1:6" s="5" customFormat="1" x14ac:dyDescent="0.25">
      <c r="A322" s="1"/>
      <c r="B322" s="4"/>
      <c r="C322" s="1"/>
      <c r="D322" s="3"/>
      <c r="E322" s="2"/>
      <c r="F322" s="117"/>
    </row>
    <row r="323" spans="1:6" s="5" customFormat="1" x14ac:dyDescent="0.25">
      <c r="A323" s="1"/>
      <c r="B323" s="4"/>
      <c r="C323" s="1"/>
      <c r="D323" s="3"/>
      <c r="E323" s="2"/>
      <c r="F323" s="117"/>
    </row>
    <row r="324" spans="1:6" s="5" customFormat="1" x14ac:dyDescent="0.25">
      <c r="A324" s="1"/>
      <c r="B324" s="4"/>
      <c r="C324" s="1"/>
      <c r="D324" s="3"/>
      <c r="E324" s="2"/>
      <c r="F324" s="117"/>
    </row>
    <row r="325" spans="1:6" s="5" customFormat="1" x14ac:dyDescent="0.25">
      <c r="A325" s="1"/>
      <c r="B325" s="4"/>
      <c r="C325" s="1"/>
      <c r="D325" s="3"/>
      <c r="E325" s="2"/>
      <c r="F325" s="117"/>
    </row>
    <row r="326" spans="1:6" s="5" customFormat="1" x14ac:dyDescent="0.25">
      <c r="A326" s="1"/>
      <c r="B326" s="4"/>
      <c r="C326" s="1"/>
      <c r="D326" s="3"/>
      <c r="E326" s="2"/>
      <c r="F326" s="117"/>
    </row>
    <row r="327" spans="1:6" s="5" customFormat="1" x14ac:dyDescent="0.25">
      <c r="A327" s="1"/>
      <c r="B327" s="4"/>
      <c r="C327" s="1"/>
      <c r="D327" s="3"/>
      <c r="E327" s="2"/>
      <c r="F327" s="117"/>
    </row>
    <row r="328" spans="1:6" s="5" customFormat="1" x14ac:dyDescent="0.25">
      <c r="A328" s="1"/>
      <c r="B328" s="4"/>
      <c r="C328" s="1"/>
      <c r="D328" s="3"/>
      <c r="E328" s="2"/>
      <c r="F328" s="117"/>
    </row>
    <row r="329" spans="1:6" s="5" customFormat="1" x14ac:dyDescent="0.25">
      <c r="A329" s="1"/>
      <c r="B329" s="4"/>
      <c r="C329" s="1"/>
      <c r="D329" s="3"/>
      <c r="E329" s="2"/>
      <c r="F329" s="117"/>
    </row>
    <row r="330" spans="1:6" s="5" customFormat="1" x14ac:dyDescent="0.25">
      <c r="A330" s="1"/>
      <c r="B330" s="4"/>
      <c r="C330" s="1"/>
      <c r="D330" s="3"/>
      <c r="E330" s="2"/>
      <c r="F330" s="117"/>
    </row>
    <row r="331" spans="1:6" s="5" customFormat="1" x14ac:dyDescent="0.25">
      <c r="A331" s="1"/>
      <c r="B331" s="4"/>
      <c r="C331" s="1"/>
      <c r="D331" s="3"/>
      <c r="E331" s="2"/>
      <c r="F331" s="117"/>
    </row>
    <row r="332" spans="1:6" s="5" customFormat="1" x14ac:dyDescent="0.25">
      <c r="A332" s="1"/>
      <c r="B332" s="4"/>
      <c r="C332" s="1"/>
      <c r="D332" s="3"/>
      <c r="E332" s="2"/>
      <c r="F332" s="117"/>
    </row>
    <row r="333" spans="1:6" s="5" customFormat="1" x14ac:dyDescent="0.25">
      <c r="A333" s="1"/>
      <c r="B333" s="4"/>
      <c r="C333" s="1"/>
      <c r="D333" s="3"/>
      <c r="E333" s="2"/>
      <c r="F333" s="117"/>
    </row>
    <row r="334" spans="1:6" s="5" customFormat="1" x14ac:dyDescent="0.25">
      <c r="A334" s="1"/>
      <c r="B334" s="4"/>
      <c r="C334" s="1"/>
      <c r="D334" s="3"/>
      <c r="E334" s="2"/>
      <c r="F334" s="117"/>
    </row>
    <row r="335" spans="1:6" s="5" customFormat="1" x14ac:dyDescent="0.25">
      <c r="A335" s="1"/>
      <c r="B335" s="4"/>
      <c r="C335" s="1"/>
      <c r="D335" s="3"/>
      <c r="E335" s="2"/>
      <c r="F335" s="117"/>
    </row>
    <row r="336" spans="1:6" s="5" customFormat="1" x14ac:dyDescent="0.25">
      <c r="A336" s="1"/>
      <c r="B336" s="4"/>
      <c r="C336" s="1"/>
      <c r="D336" s="3"/>
      <c r="E336" s="2"/>
      <c r="F336" s="117"/>
    </row>
    <row r="337" spans="1:7" s="5" customFormat="1" x14ac:dyDescent="0.25">
      <c r="A337" s="1"/>
      <c r="B337" s="4"/>
      <c r="C337" s="1"/>
      <c r="D337" s="3"/>
      <c r="E337" s="2"/>
      <c r="F337" s="117"/>
    </row>
    <row r="338" spans="1:7" s="5" customFormat="1" x14ac:dyDescent="0.25">
      <c r="A338" s="1"/>
      <c r="B338" s="4"/>
      <c r="C338" s="1"/>
      <c r="D338" s="3"/>
      <c r="E338" s="2"/>
      <c r="F338" s="117"/>
    </row>
    <row r="339" spans="1:7" s="5" customFormat="1" x14ac:dyDescent="0.25">
      <c r="A339" s="1"/>
      <c r="B339" s="4"/>
      <c r="C339" s="1"/>
      <c r="D339" s="3"/>
      <c r="E339" s="2"/>
      <c r="F339" s="117"/>
    </row>
    <row r="340" spans="1:7" s="5" customFormat="1" x14ac:dyDescent="0.25">
      <c r="A340" s="1"/>
      <c r="B340" s="4"/>
      <c r="C340" s="1"/>
      <c r="D340" s="3"/>
      <c r="E340" s="2"/>
      <c r="F340" s="117"/>
    </row>
    <row r="341" spans="1:7" s="5" customFormat="1" x14ac:dyDescent="0.25">
      <c r="A341" s="1"/>
      <c r="B341" s="4"/>
      <c r="C341" s="1"/>
      <c r="D341" s="3"/>
      <c r="E341" s="2"/>
      <c r="F341" s="117"/>
      <c r="G341" s="6"/>
    </row>
    <row r="342" spans="1:7" s="5" customFormat="1" x14ac:dyDescent="0.25">
      <c r="A342" s="1"/>
      <c r="B342" s="4"/>
      <c r="C342" s="1"/>
      <c r="D342" s="3"/>
      <c r="E342" s="2"/>
      <c r="F342" s="117"/>
      <c r="G342" s="7"/>
    </row>
    <row r="343" spans="1:7" s="5" customFormat="1" x14ac:dyDescent="0.25">
      <c r="A343" s="1"/>
      <c r="B343" s="4"/>
      <c r="C343" s="1"/>
      <c r="D343" s="3"/>
      <c r="E343" s="2"/>
      <c r="F343" s="117"/>
      <c r="G343" s="6"/>
    </row>
    <row r="344" spans="1:7" s="5" customFormat="1" x14ac:dyDescent="0.25">
      <c r="A344" s="1"/>
      <c r="B344" s="4"/>
      <c r="C344" s="1"/>
      <c r="D344" s="3"/>
      <c r="E344" s="2"/>
      <c r="F344" s="117"/>
      <c r="G344" s="6"/>
    </row>
    <row r="345" spans="1:7" s="5" customFormat="1" x14ac:dyDescent="0.25">
      <c r="A345" s="1"/>
      <c r="B345" s="4"/>
      <c r="C345" s="1"/>
      <c r="D345" s="3"/>
      <c r="E345" s="2"/>
      <c r="F345" s="117"/>
      <c r="G345" s="6"/>
    </row>
    <row r="346" spans="1:7" s="5" customFormat="1" x14ac:dyDescent="0.25">
      <c r="A346" s="1"/>
      <c r="B346" s="4"/>
      <c r="C346" s="1"/>
      <c r="D346" s="3"/>
      <c r="E346" s="2"/>
      <c r="F346" s="117"/>
      <c r="G346" s="6"/>
    </row>
    <row r="347" spans="1:7" s="5" customFormat="1" x14ac:dyDescent="0.25">
      <c r="A347" s="1"/>
      <c r="B347" s="4"/>
      <c r="C347" s="1"/>
      <c r="D347" s="3"/>
      <c r="E347" s="2"/>
      <c r="F347" s="117"/>
      <c r="G347" s="6"/>
    </row>
    <row r="348" spans="1:7" s="5" customFormat="1" x14ac:dyDescent="0.25">
      <c r="A348" s="1"/>
      <c r="B348" s="4"/>
      <c r="C348" s="1"/>
      <c r="D348" s="3"/>
      <c r="E348" s="2"/>
      <c r="F348" s="117"/>
      <c r="G348" s="6"/>
    </row>
    <row r="349" spans="1:7" s="5" customFormat="1" x14ac:dyDescent="0.25">
      <c r="A349" s="1"/>
      <c r="B349" s="4"/>
      <c r="C349" s="1"/>
      <c r="D349" s="3"/>
      <c r="E349" s="2"/>
      <c r="F349" s="117"/>
      <c r="G349" s="6"/>
    </row>
    <row r="350" spans="1:7" s="5" customFormat="1" x14ac:dyDescent="0.25">
      <c r="A350" s="1"/>
      <c r="B350" s="4"/>
      <c r="C350" s="1"/>
      <c r="D350" s="3"/>
      <c r="E350" s="2"/>
      <c r="F350" s="117"/>
      <c r="G350" s="6"/>
    </row>
    <row r="351" spans="1:7" s="5" customFormat="1" ht="15" x14ac:dyDescent="0.25">
      <c r="A351" s="1"/>
      <c r="B351" s="4"/>
      <c r="C351" s="1"/>
      <c r="D351" s="3"/>
      <c r="E351" s="2"/>
      <c r="F351" s="117"/>
      <c r="G351" s="8"/>
    </row>
    <row r="352" spans="1:7" s="5" customFormat="1" x14ac:dyDescent="0.25">
      <c r="A352" s="1"/>
      <c r="B352" s="4"/>
      <c r="C352" s="1"/>
      <c r="D352" s="3"/>
      <c r="E352" s="2"/>
      <c r="F352" s="117"/>
    </row>
    <row r="353" spans="1:7" s="5" customFormat="1" ht="15" x14ac:dyDescent="0.25">
      <c r="A353" s="1"/>
      <c r="B353" s="4"/>
      <c r="C353" s="1"/>
      <c r="D353" s="3"/>
      <c r="E353" s="2"/>
      <c r="F353" s="117"/>
      <c r="G353" s="8"/>
    </row>
    <row r="354" spans="1:7" s="5" customFormat="1" ht="15" x14ac:dyDescent="0.25">
      <c r="A354" s="1"/>
      <c r="B354" s="4"/>
      <c r="C354" s="1"/>
      <c r="D354" s="3"/>
      <c r="E354" s="2"/>
      <c r="F354" s="117"/>
      <c r="G354" s="8"/>
    </row>
    <row r="391" spans="1:7" s="5" customFormat="1" x14ac:dyDescent="0.25">
      <c r="A391" s="1"/>
      <c r="B391" s="4"/>
      <c r="C391" s="1"/>
      <c r="D391" s="3"/>
      <c r="E391" s="2"/>
      <c r="F391" s="117"/>
      <c r="G391" s="6"/>
    </row>
    <row r="392" spans="1:7" s="5" customFormat="1" x14ac:dyDescent="0.25">
      <c r="A392" s="1"/>
      <c r="B392" s="4"/>
      <c r="C392" s="1"/>
      <c r="D392" s="3"/>
      <c r="E392" s="2"/>
      <c r="F392" s="117"/>
      <c r="G392" s="6"/>
    </row>
    <row r="393" spans="1:7" s="5" customFormat="1" x14ac:dyDescent="0.25">
      <c r="A393" s="1"/>
      <c r="B393" s="4"/>
      <c r="C393" s="1"/>
      <c r="D393" s="3"/>
      <c r="E393" s="2"/>
      <c r="F393" s="117"/>
      <c r="G393" s="6"/>
    </row>
    <row r="394" spans="1:7" s="5" customFormat="1" ht="15" x14ac:dyDescent="0.25">
      <c r="A394" s="1"/>
      <c r="B394" s="4"/>
      <c r="C394" s="1"/>
      <c r="D394" s="3"/>
      <c r="E394" s="2"/>
      <c r="F394" s="117"/>
      <c r="G394" s="8"/>
    </row>
    <row r="397" spans="1:7" s="5" customFormat="1" x14ac:dyDescent="0.25">
      <c r="A397" s="1"/>
      <c r="B397" s="4"/>
      <c r="C397" s="1"/>
      <c r="D397" s="3"/>
      <c r="E397" s="2"/>
      <c r="F397" s="117"/>
      <c r="G397" s="6"/>
    </row>
    <row r="434" spans="1:7" s="5" customFormat="1" x14ac:dyDescent="0.25">
      <c r="A434" s="1"/>
      <c r="B434" s="4"/>
      <c r="C434" s="1"/>
      <c r="D434" s="3"/>
      <c r="E434" s="2"/>
      <c r="F434" s="117"/>
      <c r="G434" s="6"/>
    </row>
    <row r="435" spans="1:7" s="5" customFormat="1" x14ac:dyDescent="0.25">
      <c r="A435" s="1"/>
      <c r="B435" s="4"/>
      <c r="C435" s="1"/>
      <c r="D435" s="3"/>
      <c r="E435" s="2"/>
      <c r="F435" s="117"/>
      <c r="G435" s="6"/>
    </row>
    <row r="436" spans="1:7" s="5" customFormat="1" x14ac:dyDescent="0.25">
      <c r="A436" s="1"/>
      <c r="B436" s="4"/>
      <c r="C436" s="1"/>
      <c r="D436" s="3"/>
      <c r="E436" s="2"/>
      <c r="F436" s="117"/>
      <c r="G436" s="6"/>
    </row>
    <row r="472" spans="1:7" s="5" customFormat="1" x14ac:dyDescent="0.25">
      <c r="A472" s="1"/>
      <c r="B472" s="4"/>
      <c r="C472" s="1"/>
      <c r="D472" s="3"/>
      <c r="E472" s="2"/>
      <c r="F472" s="117"/>
      <c r="G472" s="7"/>
    </row>
    <row r="473" spans="1:7" s="5" customFormat="1" ht="15" x14ac:dyDescent="0.25">
      <c r="A473" s="1"/>
      <c r="B473" s="4"/>
      <c r="C473" s="1"/>
      <c r="D473" s="3"/>
      <c r="E473" s="2"/>
      <c r="F473" s="117"/>
      <c r="G473" s="8"/>
    </row>
    <row r="479" spans="1:7" s="5" customFormat="1" x14ac:dyDescent="0.25">
      <c r="A479" s="1"/>
      <c r="B479" s="4"/>
      <c r="C479" s="1"/>
      <c r="D479" s="3"/>
      <c r="E479" s="2"/>
      <c r="F479" s="117"/>
      <c r="G479" s="6"/>
    </row>
    <row r="543" spans="1:7" s="5" customFormat="1" x14ac:dyDescent="0.25">
      <c r="A543" s="1"/>
      <c r="B543" s="4"/>
      <c r="C543" s="1"/>
      <c r="D543" s="3"/>
      <c r="E543" s="2"/>
      <c r="F543" s="117"/>
      <c r="G543" s="7"/>
    </row>
    <row r="595" spans="1:7" s="5" customFormat="1" x14ac:dyDescent="0.25">
      <c r="A595" s="1"/>
      <c r="B595" s="4"/>
      <c r="C595" s="1"/>
      <c r="D595" s="3"/>
      <c r="E595" s="2"/>
      <c r="F595" s="117"/>
      <c r="G595" s="6"/>
    </row>
    <row r="596" spans="1:7" s="5" customFormat="1" x14ac:dyDescent="0.25">
      <c r="A596" s="1"/>
      <c r="B596" s="4"/>
      <c r="C596" s="1"/>
      <c r="D596" s="3"/>
      <c r="E596" s="2"/>
      <c r="F596" s="117"/>
      <c r="G596" s="7"/>
    </row>
    <row r="597" spans="1:7" s="5" customFormat="1" x14ac:dyDescent="0.25">
      <c r="A597" s="1"/>
      <c r="B597" s="4"/>
      <c r="C597" s="1"/>
      <c r="D597" s="3"/>
      <c r="E597" s="2"/>
      <c r="F597" s="117"/>
      <c r="G597" s="6"/>
    </row>
    <row r="598" spans="1:7" s="5" customFormat="1" x14ac:dyDescent="0.25">
      <c r="A598" s="1"/>
      <c r="B598" s="4"/>
      <c r="C598" s="1"/>
      <c r="D598" s="3"/>
      <c r="E598" s="2"/>
      <c r="F598" s="117"/>
      <c r="G598" s="6"/>
    </row>
    <row r="599" spans="1:7" s="5" customFormat="1" x14ac:dyDescent="0.25">
      <c r="A599" s="1"/>
      <c r="B599" s="4"/>
      <c r="C599" s="1"/>
      <c r="D599" s="3"/>
      <c r="E599" s="2"/>
      <c r="F599" s="117"/>
      <c r="G599" s="6"/>
    </row>
    <row r="600" spans="1:7" s="5" customFormat="1" x14ac:dyDescent="0.25">
      <c r="A600" s="1"/>
      <c r="B600" s="4"/>
      <c r="C600" s="1"/>
      <c r="D600" s="3"/>
      <c r="E600" s="2"/>
      <c r="F600" s="117"/>
      <c r="G600" s="6"/>
    </row>
    <row r="601" spans="1:7" s="5" customFormat="1" x14ac:dyDescent="0.25">
      <c r="A601" s="1"/>
      <c r="B601" s="4"/>
      <c r="C601" s="1"/>
      <c r="D601" s="3"/>
      <c r="E601" s="2"/>
      <c r="F601" s="117"/>
      <c r="G601" s="6"/>
    </row>
    <row r="602" spans="1:7" s="5" customFormat="1" x14ac:dyDescent="0.25">
      <c r="A602" s="1"/>
      <c r="B602" s="4"/>
      <c r="C602" s="1"/>
      <c r="D602" s="3"/>
      <c r="E602" s="2"/>
      <c r="F602" s="117"/>
      <c r="G602" s="6"/>
    </row>
    <row r="603" spans="1:7" s="5" customFormat="1" x14ac:dyDescent="0.25">
      <c r="A603" s="1"/>
      <c r="B603" s="4"/>
      <c r="C603" s="1"/>
      <c r="D603" s="3"/>
      <c r="E603" s="2"/>
      <c r="F603" s="117"/>
      <c r="G603" s="6"/>
    </row>
    <row r="604" spans="1:7" s="5" customFormat="1" x14ac:dyDescent="0.25">
      <c r="A604" s="1"/>
      <c r="B604" s="4"/>
      <c r="C604" s="1"/>
      <c r="D604" s="3"/>
      <c r="E604" s="2"/>
      <c r="F604" s="117"/>
      <c r="G604" s="6"/>
    </row>
    <row r="605" spans="1:7" s="5" customFormat="1" x14ac:dyDescent="0.25">
      <c r="A605" s="1"/>
      <c r="B605" s="4"/>
      <c r="C605" s="1"/>
      <c r="D605" s="3"/>
      <c r="E605" s="2"/>
      <c r="F605" s="117"/>
      <c r="G605" s="6"/>
    </row>
    <row r="606" spans="1:7" s="5" customFormat="1" x14ac:dyDescent="0.25">
      <c r="A606" s="1"/>
      <c r="B606" s="4"/>
      <c r="C606" s="1"/>
      <c r="D606" s="3"/>
      <c r="E606" s="2"/>
      <c r="F606" s="117"/>
      <c r="G606" s="6"/>
    </row>
    <row r="607" spans="1:7" s="5" customFormat="1" x14ac:dyDescent="0.25">
      <c r="A607" s="1"/>
      <c r="B607" s="4"/>
      <c r="C607" s="1"/>
      <c r="D607" s="3"/>
      <c r="E607" s="2"/>
      <c r="F607" s="117"/>
      <c r="G607" s="6"/>
    </row>
    <row r="608" spans="1:7" s="5" customFormat="1" x14ac:dyDescent="0.25">
      <c r="A608" s="1"/>
      <c r="B608" s="4"/>
      <c r="C608" s="1"/>
      <c r="D608" s="3"/>
      <c r="E608" s="2"/>
      <c r="F608" s="117"/>
      <c r="G608" s="6"/>
    </row>
    <row r="609" spans="1:7" s="5" customFormat="1" x14ac:dyDescent="0.25">
      <c r="A609" s="1"/>
      <c r="B609" s="4"/>
      <c r="C609" s="1"/>
      <c r="D609" s="3"/>
      <c r="E609" s="2"/>
      <c r="F609" s="117"/>
      <c r="G609" s="6"/>
    </row>
    <row r="610" spans="1:7" s="5" customFormat="1" x14ac:dyDescent="0.25">
      <c r="A610" s="1"/>
      <c r="B610" s="4"/>
      <c r="C610" s="1"/>
      <c r="D610" s="3"/>
      <c r="E610" s="2"/>
      <c r="F610" s="117"/>
      <c r="G610" s="6"/>
    </row>
    <row r="611" spans="1:7" s="5" customFormat="1" x14ac:dyDescent="0.25">
      <c r="A611" s="1"/>
      <c r="B611" s="4"/>
      <c r="C611" s="1"/>
      <c r="D611" s="3"/>
      <c r="E611" s="2"/>
      <c r="F611" s="117"/>
      <c r="G611" s="6"/>
    </row>
    <row r="612" spans="1:7" s="5" customFormat="1" x14ac:dyDescent="0.25">
      <c r="A612" s="1"/>
      <c r="B612" s="4"/>
      <c r="C612" s="1"/>
      <c r="D612" s="3"/>
      <c r="E612" s="2"/>
      <c r="F612" s="117"/>
      <c r="G612" s="6"/>
    </row>
    <row r="613" spans="1:7" s="5" customFormat="1" x14ac:dyDescent="0.25">
      <c r="A613" s="1"/>
      <c r="B613" s="4"/>
      <c r="C613" s="1"/>
      <c r="D613" s="3"/>
      <c r="E613" s="2"/>
      <c r="F613" s="117"/>
      <c r="G613" s="6"/>
    </row>
    <row r="614" spans="1:7" s="5" customFormat="1" x14ac:dyDescent="0.25">
      <c r="A614" s="1"/>
      <c r="B614" s="4"/>
      <c r="C614" s="1"/>
      <c r="D614" s="3"/>
      <c r="E614" s="2"/>
      <c r="F614" s="117"/>
      <c r="G614" s="6"/>
    </row>
    <row r="615" spans="1:7" s="5" customFormat="1" x14ac:dyDescent="0.25">
      <c r="A615" s="1"/>
      <c r="B615" s="4"/>
      <c r="C615" s="1"/>
      <c r="D615" s="3"/>
      <c r="E615" s="2"/>
      <c r="F615" s="117"/>
      <c r="G615" s="6"/>
    </row>
    <row r="616" spans="1:7" s="5" customFormat="1" x14ac:dyDescent="0.25">
      <c r="A616" s="1"/>
      <c r="B616" s="4"/>
      <c r="C616" s="1"/>
      <c r="D616" s="3"/>
      <c r="E616" s="2"/>
      <c r="F616" s="117"/>
      <c r="G616" s="6"/>
    </row>
    <row r="617" spans="1:7" s="5" customFormat="1" x14ac:dyDescent="0.25">
      <c r="A617" s="1"/>
      <c r="B617" s="4"/>
      <c r="C617" s="1"/>
      <c r="D617" s="3"/>
      <c r="E617" s="2"/>
      <c r="F617" s="117"/>
      <c r="G617" s="6"/>
    </row>
    <row r="618" spans="1:7" s="5" customFormat="1" x14ac:dyDescent="0.25">
      <c r="A618" s="1"/>
      <c r="B618" s="4"/>
      <c r="C618" s="1"/>
      <c r="D618" s="3"/>
      <c r="E618" s="2"/>
      <c r="F618" s="117"/>
      <c r="G618" s="6"/>
    </row>
    <row r="619" spans="1:7" s="5" customFormat="1" x14ac:dyDescent="0.25">
      <c r="A619" s="1"/>
      <c r="B619" s="4"/>
      <c r="C619" s="1"/>
      <c r="D619" s="3"/>
      <c r="E619" s="2"/>
      <c r="F619" s="117"/>
      <c r="G619" s="6"/>
    </row>
    <row r="620" spans="1:7" s="5" customFormat="1" x14ac:dyDescent="0.25">
      <c r="A620" s="1"/>
      <c r="B620" s="4"/>
      <c r="C620" s="1"/>
      <c r="D620" s="3"/>
      <c r="E620" s="2"/>
      <c r="F620" s="117"/>
      <c r="G620" s="6"/>
    </row>
    <row r="621" spans="1:7" s="5" customFormat="1" x14ac:dyDescent="0.25">
      <c r="A621" s="1"/>
      <c r="B621" s="4"/>
      <c r="C621" s="1"/>
      <c r="D621" s="3"/>
      <c r="E621" s="2"/>
      <c r="F621" s="117"/>
      <c r="G621" s="6"/>
    </row>
    <row r="622" spans="1:7" s="5" customFormat="1" x14ac:dyDescent="0.25">
      <c r="A622" s="1"/>
      <c r="B622" s="4"/>
      <c r="C622" s="1"/>
      <c r="D622" s="3"/>
      <c r="E622" s="2"/>
      <c r="F622" s="117"/>
      <c r="G622" s="6"/>
    </row>
    <row r="623" spans="1:7" s="5" customFormat="1" x14ac:dyDescent="0.25">
      <c r="A623" s="1"/>
      <c r="B623" s="4"/>
      <c r="C623" s="1"/>
      <c r="D623" s="3"/>
      <c r="E623" s="2"/>
      <c r="F623" s="117"/>
      <c r="G623" s="6"/>
    </row>
    <row r="624" spans="1:7" s="5" customFormat="1" x14ac:dyDescent="0.25">
      <c r="A624" s="1"/>
      <c r="B624" s="4"/>
      <c r="C624" s="1"/>
      <c r="D624" s="3"/>
      <c r="E624" s="2"/>
      <c r="F624" s="117"/>
      <c r="G624" s="6"/>
    </row>
    <row r="625" spans="1:7" s="5" customFormat="1" x14ac:dyDescent="0.25">
      <c r="A625" s="1"/>
      <c r="B625" s="4"/>
      <c r="C625" s="1"/>
      <c r="D625" s="3"/>
      <c r="E625" s="2"/>
      <c r="F625" s="117"/>
      <c r="G625" s="6"/>
    </row>
    <row r="626" spans="1:7" s="5" customFormat="1" x14ac:dyDescent="0.25">
      <c r="A626" s="1"/>
      <c r="B626" s="4"/>
      <c r="C626" s="1"/>
      <c r="D626" s="3"/>
      <c r="E626" s="2"/>
      <c r="F626" s="117"/>
      <c r="G626" s="6"/>
    </row>
    <row r="627" spans="1:7" s="5" customFormat="1" x14ac:dyDescent="0.25">
      <c r="A627" s="1"/>
      <c r="B627" s="4"/>
      <c r="C627" s="1"/>
      <c r="D627" s="3"/>
      <c r="E627" s="2"/>
      <c r="F627" s="117"/>
      <c r="G627" s="6"/>
    </row>
    <row r="628" spans="1:7" s="5" customFormat="1" x14ac:dyDescent="0.25">
      <c r="A628" s="1"/>
      <c r="B628" s="4"/>
      <c r="C628" s="1"/>
      <c r="D628" s="3"/>
      <c r="E628" s="2"/>
      <c r="F628" s="117"/>
      <c r="G628" s="6"/>
    </row>
    <row r="629" spans="1:7" s="5" customFormat="1" x14ac:dyDescent="0.25">
      <c r="A629" s="1"/>
      <c r="B629" s="4"/>
      <c r="C629" s="1"/>
      <c r="D629" s="3"/>
      <c r="E629" s="2"/>
      <c r="F629" s="117"/>
      <c r="G629" s="6"/>
    </row>
    <row r="630" spans="1:7" s="5" customFormat="1" x14ac:dyDescent="0.25">
      <c r="A630" s="1"/>
      <c r="B630" s="4"/>
      <c r="C630" s="1"/>
      <c r="D630" s="3"/>
      <c r="E630" s="2"/>
      <c r="F630" s="117"/>
      <c r="G630" s="6"/>
    </row>
    <row r="631" spans="1:7" s="5" customFormat="1" x14ac:dyDescent="0.25">
      <c r="A631" s="1"/>
      <c r="B631" s="4"/>
      <c r="C631" s="1"/>
      <c r="D631" s="3"/>
      <c r="E631" s="2"/>
      <c r="F631" s="117"/>
      <c r="G631" s="6"/>
    </row>
    <row r="632" spans="1:7" s="5" customFormat="1" x14ac:dyDescent="0.25">
      <c r="A632" s="1"/>
      <c r="B632" s="4"/>
      <c r="C632" s="1"/>
      <c r="D632" s="3"/>
      <c r="E632" s="2"/>
      <c r="F632" s="117"/>
      <c r="G632" s="6"/>
    </row>
    <row r="633" spans="1:7" s="5" customFormat="1" x14ac:dyDescent="0.25">
      <c r="A633" s="1"/>
      <c r="B633" s="4"/>
      <c r="C633" s="1"/>
      <c r="D633" s="3"/>
      <c r="E633" s="2"/>
      <c r="F633" s="117"/>
      <c r="G633" s="6"/>
    </row>
    <row r="634" spans="1:7" s="5" customFormat="1" x14ac:dyDescent="0.25">
      <c r="A634" s="1"/>
      <c r="B634" s="4"/>
      <c r="C634" s="1"/>
      <c r="D634" s="3"/>
      <c r="E634" s="2"/>
      <c r="F634" s="117"/>
      <c r="G634" s="6"/>
    </row>
    <row r="635" spans="1:7" s="5" customFormat="1" x14ac:dyDescent="0.25">
      <c r="A635" s="1"/>
      <c r="B635" s="4"/>
      <c r="C635" s="1"/>
      <c r="D635" s="3"/>
      <c r="E635" s="2"/>
      <c r="F635" s="117"/>
      <c r="G635" s="6"/>
    </row>
    <row r="636" spans="1:7" s="5" customFormat="1" x14ac:dyDescent="0.25">
      <c r="A636" s="1"/>
      <c r="B636" s="4"/>
      <c r="C636" s="1"/>
      <c r="D636" s="3"/>
      <c r="E636" s="2"/>
      <c r="F636" s="117"/>
      <c r="G636" s="6"/>
    </row>
    <row r="637" spans="1:7" s="5" customFormat="1" x14ac:dyDescent="0.25">
      <c r="A637" s="1"/>
      <c r="B637" s="4"/>
      <c r="C637" s="1"/>
      <c r="D637" s="3"/>
      <c r="E637" s="2"/>
      <c r="F637" s="117"/>
      <c r="G637" s="6"/>
    </row>
    <row r="638" spans="1:7" s="5" customFormat="1" x14ac:dyDescent="0.25">
      <c r="A638" s="1"/>
      <c r="B638" s="4"/>
      <c r="C638" s="1"/>
      <c r="D638" s="3"/>
      <c r="E638" s="2"/>
      <c r="F638" s="117"/>
      <c r="G638" s="6"/>
    </row>
    <row r="639" spans="1:7" s="5" customFormat="1" x14ac:dyDescent="0.25">
      <c r="A639" s="1"/>
      <c r="B639" s="4"/>
      <c r="C639" s="1"/>
      <c r="D639" s="3"/>
      <c r="E639" s="2"/>
      <c r="F639" s="117"/>
      <c r="G639" s="6"/>
    </row>
    <row r="640" spans="1:7" s="5" customFormat="1" x14ac:dyDescent="0.25">
      <c r="A640" s="1"/>
      <c r="B640" s="4"/>
      <c r="C640" s="1"/>
      <c r="D640" s="3"/>
      <c r="E640" s="2"/>
      <c r="F640" s="117"/>
      <c r="G640" s="6"/>
    </row>
    <row r="641" spans="1:7" s="5" customFormat="1" x14ac:dyDescent="0.25">
      <c r="A641" s="1"/>
      <c r="B641" s="4"/>
      <c r="C641" s="1"/>
      <c r="D641" s="3"/>
      <c r="E641" s="2"/>
      <c r="F641" s="117"/>
      <c r="G641" s="6"/>
    </row>
    <row r="642" spans="1:7" s="5" customFormat="1" x14ac:dyDescent="0.25">
      <c r="A642" s="1"/>
      <c r="B642" s="4"/>
      <c r="C642" s="1"/>
      <c r="D642" s="3"/>
      <c r="E642" s="2"/>
      <c r="F642" s="117"/>
      <c r="G642" s="6"/>
    </row>
    <row r="643" spans="1:7" s="5" customFormat="1" x14ac:dyDescent="0.25">
      <c r="A643" s="1"/>
      <c r="B643" s="4"/>
      <c r="C643" s="1"/>
      <c r="D643" s="3"/>
      <c r="E643" s="2"/>
      <c r="F643" s="117"/>
      <c r="G643" s="6"/>
    </row>
    <row r="644" spans="1:7" s="5" customFormat="1" x14ac:dyDescent="0.25">
      <c r="A644" s="1"/>
      <c r="B644" s="4"/>
      <c r="C644" s="1"/>
      <c r="D644" s="3"/>
      <c r="E644" s="2"/>
      <c r="F644" s="117"/>
      <c r="G644" s="6"/>
    </row>
    <row r="645" spans="1:7" s="5" customFormat="1" x14ac:dyDescent="0.25">
      <c r="A645" s="1"/>
      <c r="B645" s="4"/>
      <c r="C645" s="1"/>
      <c r="D645" s="3"/>
      <c r="E645" s="2"/>
      <c r="F645" s="117"/>
      <c r="G645" s="6"/>
    </row>
    <row r="646" spans="1:7" s="5" customFormat="1" x14ac:dyDescent="0.25">
      <c r="A646" s="1"/>
      <c r="B646" s="4"/>
      <c r="C646" s="1"/>
      <c r="D646" s="3"/>
      <c r="E646" s="2"/>
      <c r="F646" s="117"/>
      <c r="G646" s="6"/>
    </row>
    <row r="647" spans="1:7" s="5" customFormat="1" x14ac:dyDescent="0.25">
      <c r="A647" s="1"/>
      <c r="B647" s="4"/>
      <c r="C647" s="1"/>
      <c r="D647" s="3"/>
      <c r="E647" s="2"/>
      <c r="F647" s="117"/>
      <c r="G647" s="6"/>
    </row>
    <row r="648" spans="1:7" s="5" customFormat="1" x14ac:dyDescent="0.25">
      <c r="A648" s="1"/>
      <c r="B648" s="4"/>
      <c r="C648" s="1"/>
      <c r="D648" s="3"/>
      <c r="E648" s="2"/>
      <c r="F648" s="117"/>
      <c r="G648" s="6"/>
    </row>
    <row r="649" spans="1:7" s="5" customFormat="1" x14ac:dyDescent="0.25">
      <c r="A649" s="1"/>
      <c r="B649" s="4"/>
      <c r="C649" s="1"/>
      <c r="D649" s="3"/>
      <c r="E649" s="2"/>
      <c r="F649" s="117"/>
      <c r="G649" s="6"/>
    </row>
    <row r="650" spans="1:7" s="5" customFormat="1" x14ac:dyDescent="0.25">
      <c r="A650" s="1"/>
      <c r="B650" s="4"/>
      <c r="C650" s="1"/>
      <c r="D650" s="3"/>
      <c r="E650" s="2"/>
      <c r="F650" s="117"/>
      <c r="G650" s="6"/>
    </row>
    <row r="651" spans="1:7" s="5" customFormat="1" x14ac:dyDescent="0.25">
      <c r="A651" s="1"/>
      <c r="B651" s="4"/>
      <c r="C651" s="1"/>
      <c r="D651" s="3"/>
      <c r="E651" s="2"/>
      <c r="F651" s="117"/>
      <c r="G651" s="6"/>
    </row>
    <row r="652" spans="1:7" s="5" customFormat="1" x14ac:dyDescent="0.25">
      <c r="A652" s="1"/>
      <c r="B652" s="4"/>
      <c r="C652" s="1"/>
      <c r="D652" s="3"/>
      <c r="E652" s="2"/>
      <c r="F652" s="117"/>
      <c r="G652" s="6"/>
    </row>
    <row r="653" spans="1:7" s="5" customFormat="1" x14ac:dyDescent="0.25">
      <c r="A653" s="1"/>
      <c r="B653" s="4"/>
      <c r="C653" s="1"/>
      <c r="D653" s="3"/>
      <c r="E653" s="2"/>
      <c r="F653" s="117"/>
      <c r="G653" s="6"/>
    </row>
    <row r="654" spans="1:7" s="5" customFormat="1" x14ac:dyDescent="0.25">
      <c r="A654" s="1"/>
      <c r="B654" s="4"/>
      <c r="C654" s="1"/>
      <c r="D654" s="3"/>
      <c r="E654" s="2"/>
      <c r="F654" s="117"/>
      <c r="G654" s="6"/>
    </row>
    <row r="655" spans="1:7" s="5" customFormat="1" x14ac:dyDescent="0.25">
      <c r="A655" s="1"/>
      <c r="B655" s="4"/>
      <c r="C655" s="1"/>
      <c r="D655" s="3"/>
      <c r="E655" s="2"/>
      <c r="F655" s="117"/>
      <c r="G655" s="6"/>
    </row>
    <row r="656" spans="1:7" s="5" customFormat="1" x14ac:dyDescent="0.25">
      <c r="A656" s="1"/>
      <c r="B656" s="4"/>
      <c r="C656" s="1"/>
      <c r="D656" s="3"/>
      <c r="E656" s="2"/>
      <c r="F656" s="117"/>
      <c r="G656" s="6"/>
    </row>
    <row r="657" spans="1:7" s="5" customFormat="1" x14ac:dyDescent="0.25">
      <c r="A657" s="1"/>
      <c r="B657" s="4"/>
      <c r="C657" s="1"/>
      <c r="D657" s="3"/>
      <c r="E657" s="2"/>
      <c r="F657" s="117"/>
      <c r="G657" s="6"/>
    </row>
    <row r="658" spans="1:7" s="5" customFormat="1" x14ac:dyDescent="0.25">
      <c r="A658" s="1"/>
      <c r="B658" s="4"/>
      <c r="C658" s="1"/>
      <c r="D658" s="3"/>
      <c r="E658" s="2"/>
      <c r="F658" s="117"/>
      <c r="G658" s="6"/>
    </row>
    <row r="659" spans="1:7" s="5" customFormat="1" x14ac:dyDescent="0.25">
      <c r="A659" s="1"/>
      <c r="B659" s="4"/>
      <c r="C659" s="1"/>
      <c r="D659" s="3"/>
      <c r="E659" s="2"/>
      <c r="F659" s="117"/>
      <c r="G659" s="6"/>
    </row>
    <row r="660" spans="1:7" s="5" customFormat="1" x14ac:dyDescent="0.25">
      <c r="A660" s="1"/>
      <c r="B660" s="4"/>
      <c r="C660" s="1"/>
      <c r="D660" s="3"/>
      <c r="E660" s="2"/>
      <c r="F660" s="117"/>
      <c r="G660" s="6"/>
    </row>
    <row r="661" spans="1:7" s="5" customFormat="1" x14ac:dyDescent="0.25">
      <c r="A661" s="1"/>
      <c r="B661" s="4"/>
      <c r="C661" s="1"/>
      <c r="D661" s="3"/>
      <c r="E661" s="2"/>
      <c r="F661" s="117"/>
      <c r="G661" s="6"/>
    </row>
    <row r="662" spans="1:7" s="5" customFormat="1" x14ac:dyDescent="0.25">
      <c r="A662" s="1"/>
      <c r="B662" s="4"/>
      <c r="C662" s="1"/>
      <c r="D662" s="3"/>
      <c r="E662" s="2"/>
      <c r="F662" s="117"/>
      <c r="G662" s="6"/>
    </row>
    <row r="663" spans="1:7" s="5" customFormat="1" x14ac:dyDescent="0.25">
      <c r="A663" s="1"/>
      <c r="B663" s="4"/>
      <c r="C663" s="1"/>
      <c r="D663" s="3"/>
      <c r="E663" s="2"/>
      <c r="F663" s="117"/>
      <c r="G663" s="6"/>
    </row>
    <row r="664" spans="1:7" s="5" customFormat="1" x14ac:dyDescent="0.25">
      <c r="A664" s="1"/>
      <c r="B664" s="4"/>
      <c r="C664" s="1"/>
      <c r="D664" s="3"/>
      <c r="E664" s="2"/>
      <c r="F664" s="117"/>
      <c r="G664" s="6"/>
    </row>
    <row r="665" spans="1:7" s="5" customFormat="1" x14ac:dyDescent="0.25">
      <c r="A665" s="1"/>
      <c r="B665" s="4"/>
      <c r="C665" s="1"/>
      <c r="D665" s="3"/>
      <c r="E665" s="2"/>
      <c r="F665" s="117"/>
      <c r="G665" s="6"/>
    </row>
    <row r="666" spans="1:7" s="5" customFormat="1" x14ac:dyDescent="0.25">
      <c r="A666" s="1"/>
      <c r="B666" s="4"/>
      <c r="C666" s="1"/>
      <c r="D666" s="3"/>
      <c r="E666" s="2"/>
      <c r="F666" s="117"/>
      <c r="G666" s="6"/>
    </row>
    <row r="667" spans="1:7" s="5" customFormat="1" x14ac:dyDescent="0.25">
      <c r="A667" s="1"/>
      <c r="B667" s="4"/>
      <c r="C667" s="1"/>
      <c r="D667" s="3"/>
      <c r="E667" s="2"/>
      <c r="F667" s="117"/>
      <c r="G667" s="6"/>
    </row>
    <row r="668" spans="1:7" s="5" customFormat="1" x14ac:dyDescent="0.25">
      <c r="A668" s="1"/>
      <c r="B668" s="4"/>
      <c r="C668" s="1"/>
      <c r="D668" s="3"/>
      <c r="E668" s="2"/>
      <c r="F668" s="117"/>
      <c r="G668" s="6"/>
    </row>
    <row r="669" spans="1:7" s="5" customFormat="1" x14ac:dyDescent="0.25">
      <c r="A669" s="1"/>
      <c r="B669" s="4"/>
      <c r="C669" s="1"/>
      <c r="D669" s="3"/>
      <c r="E669" s="2"/>
      <c r="F669" s="117"/>
      <c r="G669" s="6"/>
    </row>
    <row r="670" spans="1:7" s="5" customFormat="1" x14ac:dyDescent="0.25">
      <c r="A670" s="1"/>
      <c r="B670" s="4"/>
      <c r="C670" s="1"/>
      <c r="D670" s="3"/>
      <c r="E670" s="2"/>
      <c r="F670" s="117"/>
      <c r="G670" s="6"/>
    </row>
    <row r="671" spans="1:7" s="5" customFormat="1" x14ac:dyDescent="0.25">
      <c r="A671" s="1"/>
      <c r="B671" s="4"/>
      <c r="C671" s="1"/>
      <c r="D671" s="3"/>
      <c r="E671" s="2"/>
      <c r="F671" s="117"/>
      <c r="G671" s="6"/>
    </row>
    <row r="672" spans="1:7" s="5" customFormat="1" x14ac:dyDescent="0.25">
      <c r="A672" s="1"/>
      <c r="B672" s="4"/>
      <c r="C672" s="1"/>
      <c r="D672" s="3"/>
      <c r="E672" s="2"/>
      <c r="F672" s="117"/>
      <c r="G672" s="6"/>
    </row>
    <row r="673" spans="1:7" s="5" customFormat="1" x14ac:dyDescent="0.25">
      <c r="A673" s="1"/>
      <c r="B673" s="4"/>
      <c r="C673" s="1"/>
      <c r="D673" s="3"/>
      <c r="E673" s="2"/>
      <c r="F673" s="117"/>
      <c r="G673" s="6"/>
    </row>
    <row r="674" spans="1:7" s="5" customFormat="1" x14ac:dyDescent="0.25">
      <c r="A674" s="1"/>
      <c r="B674" s="4"/>
      <c r="C674" s="1"/>
      <c r="D674" s="3"/>
      <c r="E674" s="2"/>
      <c r="F674" s="117"/>
      <c r="G674" s="6"/>
    </row>
    <row r="675" spans="1:7" s="5" customFormat="1" x14ac:dyDescent="0.25">
      <c r="A675" s="1"/>
      <c r="B675" s="4"/>
      <c r="C675" s="1"/>
      <c r="D675" s="3"/>
      <c r="E675" s="2"/>
      <c r="F675" s="117"/>
      <c r="G675" s="6"/>
    </row>
    <row r="676" spans="1:7" s="5" customFormat="1" x14ac:dyDescent="0.25">
      <c r="A676" s="1"/>
      <c r="B676" s="4"/>
      <c r="C676" s="1"/>
      <c r="D676" s="3"/>
      <c r="E676" s="2"/>
      <c r="F676" s="117"/>
      <c r="G676" s="6"/>
    </row>
    <row r="677" spans="1:7" s="5" customFormat="1" x14ac:dyDescent="0.25">
      <c r="A677" s="1"/>
      <c r="B677" s="4"/>
      <c r="C677" s="1"/>
      <c r="D677" s="3"/>
      <c r="E677" s="2"/>
      <c r="F677" s="117"/>
      <c r="G677" s="6"/>
    </row>
    <row r="678" spans="1:7" s="5" customFormat="1" x14ac:dyDescent="0.25">
      <c r="A678" s="1"/>
      <c r="B678" s="4"/>
      <c r="C678" s="1"/>
      <c r="D678" s="3"/>
      <c r="E678" s="2"/>
      <c r="F678" s="117"/>
      <c r="G678" s="6"/>
    </row>
    <row r="679" spans="1:7" s="5" customFormat="1" x14ac:dyDescent="0.25">
      <c r="A679" s="1"/>
      <c r="B679" s="4"/>
      <c r="C679" s="1"/>
      <c r="D679" s="3"/>
      <c r="E679" s="2"/>
      <c r="F679" s="117"/>
      <c r="G679" s="6"/>
    </row>
    <row r="680" spans="1:7" s="5" customFormat="1" x14ac:dyDescent="0.25">
      <c r="A680" s="1"/>
      <c r="B680" s="4"/>
      <c r="C680" s="1"/>
      <c r="D680" s="3"/>
      <c r="E680" s="2"/>
      <c r="F680" s="117"/>
      <c r="G680" s="6"/>
    </row>
    <row r="681" spans="1:7" s="5" customFormat="1" x14ac:dyDescent="0.25">
      <c r="A681" s="1"/>
      <c r="B681" s="4"/>
      <c r="C681" s="1"/>
      <c r="D681" s="3"/>
      <c r="E681" s="2"/>
      <c r="F681" s="117"/>
      <c r="G681" s="6"/>
    </row>
    <row r="682" spans="1:7" s="5" customFormat="1" x14ac:dyDescent="0.25">
      <c r="A682" s="1"/>
      <c r="B682" s="4"/>
      <c r="C682" s="1"/>
      <c r="D682" s="3"/>
      <c r="E682" s="2"/>
      <c r="F682" s="117"/>
      <c r="G682" s="6"/>
    </row>
    <row r="683" spans="1:7" s="5" customFormat="1" x14ac:dyDescent="0.25">
      <c r="A683" s="1"/>
      <c r="B683" s="4"/>
      <c r="C683" s="1"/>
      <c r="D683" s="3"/>
      <c r="E683" s="2"/>
      <c r="F683" s="117"/>
      <c r="G683" s="6"/>
    </row>
    <row r="684" spans="1:7" s="5" customFormat="1" x14ac:dyDescent="0.25">
      <c r="A684" s="1"/>
      <c r="B684" s="4"/>
      <c r="C684" s="1"/>
      <c r="D684" s="3"/>
      <c r="E684" s="2"/>
      <c r="F684" s="117"/>
      <c r="G684" s="6"/>
    </row>
    <row r="685" spans="1:7" s="5" customFormat="1" x14ac:dyDescent="0.25">
      <c r="A685" s="1"/>
      <c r="B685" s="4"/>
      <c r="C685" s="1"/>
      <c r="D685" s="3"/>
      <c r="E685" s="2"/>
      <c r="F685" s="117"/>
      <c r="G685" s="6"/>
    </row>
    <row r="686" spans="1:7" s="5" customFormat="1" x14ac:dyDescent="0.25">
      <c r="A686" s="1"/>
      <c r="B686" s="4"/>
      <c r="C686" s="1"/>
      <c r="D686" s="3"/>
      <c r="E686" s="2"/>
      <c r="F686" s="117"/>
      <c r="G686" s="6"/>
    </row>
    <row r="687" spans="1:7" s="5" customFormat="1" x14ac:dyDescent="0.25">
      <c r="A687" s="1"/>
      <c r="B687" s="4"/>
      <c r="C687" s="1"/>
      <c r="D687" s="3"/>
      <c r="E687" s="2"/>
      <c r="F687" s="117"/>
      <c r="G687" s="6"/>
    </row>
    <row r="688" spans="1:7" s="5" customFormat="1" x14ac:dyDescent="0.25">
      <c r="A688" s="1"/>
      <c r="B688" s="4"/>
      <c r="C688" s="1"/>
      <c r="D688" s="3"/>
      <c r="E688" s="2"/>
      <c r="F688" s="117"/>
      <c r="G688" s="6"/>
    </row>
    <row r="689" spans="1:7" s="5" customFormat="1" x14ac:dyDescent="0.25">
      <c r="A689" s="1"/>
      <c r="B689" s="4"/>
      <c r="C689" s="1"/>
      <c r="D689" s="3"/>
      <c r="E689" s="2"/>
      <c r="F689" s="117"/>
      <c r="G689" s="6"/>
    </row>
    <row r="690" spans="1:7" s="5" customFormat="1" x14ac:dyDescent="0.25">
      <c r="A690" s="1"/>
      <c r="B690" s="4"/>
      <c r="C690" s="1"/>
      <c r="D690" s="3"/>
      <c r="E690" s="2"/>
      <c r="F690" s="117"/>
      <c r="G690" s="6"/>
    </row>
    <row r="691" spans="1:7" s="5" customFormat="1" x14ac:dyDescent="0.25">
      <c r="A691" s="1"/>
      <c r="B691" s="4"/>
      <c r="C691" s="1"/>
      <c r="D691" s="3"/>
      <c r="E691" s="2"/>
      <c r="F691" s="117"/>
      <c r="G691" s="6"/>
    </row>
    <row r="692" spans="1:7" s="5" customFormat="1" x14ac:dyDescent="0.25">
      <c r="A692" s="1"/>
      <c r="B692" s="4"/>
      <c r="C692" s="1"/>
      <c r="D692" s="3"/>
      <c r="E692" s="2"/>
      <c r="F692" s="117"/>
      <c r="G692" s="6"/>
    </row>
    <row r="693" spans="1:7" s="5" customFormat="1" x14ac:dyDescent="0.25">
      <c r="A693" s="1"/>
      <c r="B693" s="4"/>
      <c r="C693" s="1"/>
      <c r="D693" s="3"/>
      <c r="E693" s="2"/>
      <c r="F693" s="117"/>
      <c r="G693" s="6"/>
    </row>
    <row r="694" spans="1:7" s="5" customFormat="1" x14ac:dyDescent="0.25">
      <c r="A694" s="1"/>
      <c r="B694" s="4"/>
      <c r="C694" s="1"/>
      <c r="D694" s="3"/>
      <c r="E694" s="2"/>
      <c r="F694" s="117"/>
      <c r="G694" s="6"/>
    </row>
    <row r="695" spans="1:7" s="5" customFormat="1" x14ac:dyDescent="0.25">
      <c r="A695" s="1"/>
      <c r="B695" s="4"/>
      <c r="C695" s="1"/>
      <c r="D695" s="3"/>
      <c r="E695" s="2"/>
      <c r="F695" s="117"/>
      <c r="G695" s="6"/>
    </row>
    <row r="696" spans="1:7" s="5" customFormat="1" x14ac:dyDescent="0.25">
      <c r="A696" s="1"/>
      <c r="B696" s="4"/>
      <c r="C696" s="1"/>
      <c r="D696" s="3"/>
      <c r="E696" s="2"/>
      <c r="F696" s="117"/>
      <c r="G696" s="6"/>
    </row>
    <row r="697" spans="1:7" s="5" customFormat="1" x14ac:dyDescent="0.25">
      <c r="A697" s="1"/>
      <c r="B697" s="4"/>
      <c r="C697" s="1"/>
      <c r="D697" s="3"/>
      <c r="E697" s="2"/>
      <c r="F697" s="117"/>
      <c r="G697" s="6"/>
    </row>
    <row r="698" spans="1:7" s="5" customFormat="1" x14ac:dyDescent="0.25">
      <c r="A698" s="1"/>
      <c r="B698" s="4"/>
      <c r="C698" s="1"/>
      <c r="D698" s="3"/>
      <c r="E698" s="2"/>
      <c r="F698" s="117"/>
      <c r="G698" s="6"/>
    </row>
    <row r="699" spans="1:7" s="5" customFormat="1" x14ac:dyDescent="0.25">
      <c r="A699" s="1"/>
      <c r="B699" s="4"/>
      <c r="C699" s="1"/>
      <c r="D699" s="3"/>
      <c r="E699" s="2"/>
      <c r="F699" s="117"/>
      <c r="G699" s="6"/>
    </row>
    <row r="700" spans="1:7" s="5" customFormat="1" x14ac:dyDescent="0.25">
      <c r="A700" s="1"/>
      <c r="B700" s="4"/>
      <c r="C700" s="1"/>
      <c r="D700" s="3"/>
      <c r="E700" s="2"/>
      <c r="F700" s="117"/>
      <c r="G700" s="6"/>
    </row>
    <row r="701" spans="1:7" s="5" customFormat="1" x14ac:dyDescent="0.25">
      <c r="A701" s="1"/>
      <c r="B701" s="4"/>
      <c r="C701" s="1"/>
      <c r="D701" s="3"/>
      <c r="E701" s="2"/>
      <c r="F701" s="117"/>
      <c r="G701" s="6"/>
    </row>
    <row r="702" spans="1:7" s="5" customFormat="1" x14ac:dyDescent="0.25">
      <c r="A702" s="1"/>
      <c r="B702" s="4"/>
      <c r="C702" s="1"/>
      <c r="D702" s="3"/>
      <c r="E702" s="2"/>
      <c r="F702" s="117"/>
      <c r="G702" s="6"/>
    </row>
    <row r="703" spans="1:7" s="5" customFormat="1" x14ac:dyDescent="0.25">
      <c r="A703" s="1"/>
      <c r="B703" s="4"/>
      <c r="C703" s="1"/>
      <c r="D703" s="3"/>
      <c r="E703" s="2"/>
      <c r="F703" s="117"/>
      <c r="G703" s="6"/>
    </row>
    <row r="704" spans="1:7" s="5" customFormat="1" x14ac:dyDescent="0.25">
      <c r="A704" s="1"/>
      <c r="B704" s="4"/>
      <c r="C704" s="1"/>
      <c r="D704" s="3"/>
      <c r="E704" s="2"/>
      <c r="F704" s="117"/>
      <c r="G704" s="6"/>
    </row>
    <row r="705" spans="1:13" s="5" customFormat="1" x14ac:dyDescent="0.25">
      <c r="A705" s="1"/>
      <c r="B705" s="4"/>
      <c r="C705" s="1"/>
      <c r="D705" s="3"/>
      <c r="E705" s="2"/>
      <c r="F705" s="117"/>
      <c r="G705" s="6"/>
    </row>
    <row r="706" spans="1:13" s="5" customFormat="1" x14ac:dyDescent="0.25">
      <c r="A706" s="1"/>
      <c r="B706" s="4"/>
      <c r="C706" s="1"/>
      <c r="D706" s="3"/>
      <c r="E706" s="2"/>
      <c r="F706" s="117"/>
      <c r="G706" s="6"/>
    </row>
    <row r="707" spans="1:13" s="5" customFormat="1" x14ac:dyDescent="0.25">
      <c r="A707" s="1"/>
      <c r="B707" s="4"/>
      <c r="C707" s="1"/>
      <c r="D707" s="3"/>
      <c r="E707" s="2"/>
      <c r="F707" s="117"/>
      <c r="G707" s="6"/>
    </row>
    <row r="708" spans="1:13" s="5" customFormat="1" x14ac:dyDescent="0.25">
      <c r="A708" s="1"/>
      <c r="B708" s="4"/>
      <c r="C708" s="1"/>
      <c r="D708" s="3"/>
      <c r="E708" s="2"/>
      <c r="F708" s="117"/>
      <c r="G708" s="6"/>
    </row>
    <row r="709" spans="1:13" s="5" customFormat="1" x14ac:dyDescent="0.25">
      <c r="A709" s="1"/>
      <c r="B709" s="4"/>
      <c r="C709" s="1"/>
      <c r="D709" s="3"/>
      <c r="E709" s="2"/>
      <c r="F709" s="117"/>
      <c r="G709" s="6"/>
    </row>
    <row r="710" spans="1:13" s="5" customFormat="1" x14ac:dyDescent="0.25">
      <c r="A710" s="1"/>
      <c r="B710" s="4"/>
      <c r="C710" s="1"/>
      <c r="D710" s="3"/>
      <c r="E710" s="2"/>
      <c r="F710" s="117"/>
      <c r="G710" s="6"/>
    </row>
    <row r="711" spans="1:13" s="5" customFormat="1" x14ac:dyDescent="0.25">
      <c r="A711" s="1"/>
      <c r="B711" s="4"/>
      <c r="C711" s="1"/>
      <c r="D711" s="3"/>
      <c r="E711" s="2"/>
      <c r="F711" s="117"/>
      <c r="G711" s="12"/>
      <c r="H711" s="11"/>
      <c r="I711" s="11"/>
      <c r="J711" s="11"/>
      <c r="K711" s="11"/>
      <c r="L711" s="11"/>
      <c r="M711" s="11"/>
    </row>
    <row r="712" spans="1:13" s="5" customFormat="1" x14ac:dyDescent="0.25">
      <c r="A712" s="1"/>
      <c r="B712" s="4"/>
      <c r="C712" s="1"/>
      <c r="D712" s="3"/>
      <c r="E712" s="2"/>
      <c r="F712" s="117"/>
      <c r="G712" s="12"/>
      <c r="H712" s="11"/>
      <c r="I712" s="11"/>
      <c r="J712" s="11"/>
      <c r="K712" s="11"/>
      <c r="L712" s="11"/>
      <c r="M712" s="11"/>
    </row>
    <row r="713" spans="1:13" s="5" customFormat="1" x14ac:dyDescent="0.25">
      <c r="A713" s="1"/>
      <c r="B713" s="4"/>
      <c r="C713" s="1"/>
      <c r="D713" s="3"/>
      <c r="E713" s="2"/>
      <c r="F713" s="117"/>
      <c r="G713" s="12"/>
      <c r="H713" s="11"/>
      <c r="I713" s="11"/>
      <c r="J713" s="11"/>
      <c r="K713" s="11"/>
      <c r="L713" s="11"/>
      <c r="M713" s="11"/>
    </row>
    <row r="714" spans="1:13" s="5" customFormat="1" x14ac:dyDescent="0.25">
      <c r="A714" s="1"/>
      <c r="B714" s="4"/>
      <c r="C714" s="1"/>
      <c r="D714" s="3"/>
      <c r="E714" s="2"/>
      <c r="F714" s="117"/>
      <c r="G714" s="12"/>
      <c r="H714" s="11"/>
      <c r="I714" s="11"/>
      <c r="J714" s="11"/>
      <c r="K714" s="11"/>
      <c r="L714" s="11"/>
      <c r="M714" s="11"/>
    </row>
    <row r="715" spans="1:13" s="5" customFormat="1" x14ac:dyDescent="0.25">
      <c r="A715" s="1"/>
      <c r="B715" s="4"/>
      <c r="C715" s="1"/>
      <c r="D715" s="3"/>
      <c r="E715" s="2"/>
      <c r="F715" s="117"/>
      <c r="G715" s="12"/>
      <c r="H715" s="11"/>
      <c r="I715" s="11"/>
      <c r="J715" s="11"/>
      <c r="K715" s="11"/>
      <c r="L715" s="11"/>
      <c r="M715" s="11"/>
    </row>
    <row r="716" spans="1:13" s="5" customFormat="1" x14ac:dyDescent="0.25">
      <c r="A716" s="1"/>
      <c r="B716" s="4"/>
      <c r="C716" s="1"/>
      <c r="D716" s="3"/>
      <c r="E716" s="2"/>
      <c r="F716" s="117"/>
      <c r="G716" s="12"/>
      <c r="H716" s="11"/>
      <c r="I716" s="11"/>
      <c r="J716" s="11"/>
      <c r="K716" s="11"/>
      <c r="L716" s="11"/>
      <c r="M716" s="11"/>
    </row>
    <row r="717" spans="1:13" s="5" customFormat="1" x14ac:dyDescent="0.25">
      <c r="A717" s="1"/>
      <c r="B717" s="4"/>
      <c r="C717" s="1"/>
      <c r="D717" s="3"/>
      <c r="E717" s="2"/>
      <c r="F717" s="117"/>
      <c r="G717" s="12"/>
      <c r="H717" s="11"/>
      <c r="I717" s="11"/>
      <c r="J717" s="11"/>
      <c r="K717" s="11"/>
      <c r="L717" s="11"/>
      <c r="M717" s="11"/>
    </row>
    <row r="718" spans="1:13" s="5" customFormat="1" x14ac:dyDescent="0.25">
      <c r="A718" s="1"/>
      <c r="B718" s="4"/>
      <c r="C718" s="1"/>
      <c r="D718" s="3"/>
      <c r="E718" s="2"/>
      <c r="F718" s="117"/>
      <c r="G718" s="12"/>
      <c r="H718" s="11"/>
      <c r="I718" s="11"/>
      <c r="J718" s="11"/>
      <c r="K718" s="11"/>
      <c r="L718" s="11"/>
      <c r="M718" s="11"/>
    </row>
    <row r="719" spans="1:13" s="5" customFormat="1" x14ac:dyDescent="0.25">
      <c r="A719" s="1"/>
      <c r="B719" s="4"/>
      <c r="C719" s="1"/>
      <c r="D719" s="3"/>
      <c r="E719" s="2"/>
      <c r="F719" s="117"/>
      <c r="G719" s="12"/>
      <c r="H719" s="11"/>
      <c r="I719" s="11"/>
      <c r="J719" s="11"/>
      <c r="K719" s="11"/>
      <c r="L719" s="11"/>
      <c r="M719" s="11"/>
    </row>
    <row r="720" spans="1:13" s="5" customFormat="1" x14ac:dyDescent="0.25">
      <c r="A720" s="1"/>
      <c r="B720" s="4"/>
      <c r="C720" s="1"/>
      <c r="D720" s="3"/>
      <c r="E720" s="2"/>
      <c r="F720" s="117"/>
      <c r="G720" s="12"/>
      <c r="H720" s="11"/>
      <c r="I720" s="11"/>
      <c r="J720" s="11"/>
      <c r="K720" s="11"/>
      <c r="L720" s="11"/>
      <c r="M720" s="11"/>
    </row>
    <row r="721" spans="1:13" s="5" customFormat="1" x14ac:dyDescent="0.25">
      <c r="A721" s="1"/>
      <c r="B721" s="4"/>
      <c r="C721" s="1"/>
      <c r="D721" s="3"/>
      <c r="E721" s="2"/>
      <c r="F721" s="117"/>
      <c r="G721" s="12"/>
      <c r="H721" s="11"/>
      <c r="I721" s="11"/>
      <c r="J721" s="11"/>
      <c r="K721" s="11"/>
      <c r="L721" s="11"/>
      <c r="M721" s="11"/>
    </row>
    <row r="722" spans="1:13" s="5" customFormat="1" x14ac:dyDescent="0.25">
      <c r="A722" s="1"/>
      <c r="B722" s="4"/>
      <c r="C722" s="1"/>
      <c r="D722" s="3"/>
      <c r="E722" s="2"/>
      <c r="F722" s="117"/>
      <c r="G722" s="12"/>
      <c r="H722" s="11"/>
      <c r="I722" s="11"/>
      <c r="J722" s="11"/>
      <c r="K722" s="11"/>
      <c r="L722" s="11"/>
      <c r="M722" s="11"/>
    </row>
    <row r="723" spans="1:13" s="5" customFormat="1" x14ac:dyDescent="0.25">
      <c r="A723" s="1"/>
      <c r="B723" s="4"/>
      <c r="C723" s="1"/>
      <c r="D723" s="3"/>
      <c r="E723" s="2"/>
      <c r="F723" s="117"/>
      <c r="G723" s="12"/>
      <c r="H723" s="11"/>
      <c r="I723" s="11"/>
      <c r="J723" s="11"/>
      <c r="K723" s="11"/>
      <c r="L723" s="11"/>
      <c r="M723" s="11"/>
    </row>
    <row r="724" spans="1:13" s="5" customFormat="1" x14ac:dyDescent="0.25">
      <c r="A724" s="1"/>
      <c r="B724" s="4"/>
      <c r="C724" s="1"/>
      <c r="D724" s="3"/>
      <c r="E724" s="2"/>
      <c r="F724" s="117"/>
      <c r="G724" s="12"/>
      <c r="H724" s="11"/>
      <c r="I724" s="11"/>
      <c r="J724" s="11"/>
      <c r="K724" s="11"/>
      <c r="L724" s="11"/>
      <c r="M724" s="11"/>
    </row>
    <row r="725" spans="1:13" s="5" customFormat="1" x14ac:dyDescent="0.25">
      <c r="A725" s="1"/>
      <c r="B725" s="4"/>
      <c r="C725" s="1"/>
      <c r="D725" s="3"/>
      <c r="E725" s="2"/>
      <c r="F725" s="117"/>
      <c r="G725" s="12"/>
      <c r="H725" s="11"/>
      <c r="I725" s="11"/>
      <c r="J725" s="11"/>
      <c r="K725" s="11"/>
      <c r="L725" s="11"/>
      <c r="M725" s="11"/>
    </row>
    <row r="726" spans="1:13" s="5" customFormat="1" x14ac:dyDescent="0.25">
      <c r="A726" s="1"/>
      <c r="B726" s="4"/>
      <c r="C726" s="1"/>
      <c r="D726" s="3"/>
      <c r="E726" s="2"/>
      <c r="F726" s="117"/>
      <c r="G726" s="12"/>
      <c r="H726" s="11"/>
      <c r="I726" s="11"/>
      <c r="J726" s="11"/>
      <c r="K726" s="11"/>
      <c r="L726" s="11"/>
      <c r="M726" s="11"/>
    </row>
    <row r="727" spans="1:13" s="5" customFormat="1" x14ac:dyDescent="0.25">
      <c r="A727" s="1"/>
      <c r="B727" s="4"/>
      <c r="C727" s="1"/>
      <c r="D727" s="3"/>
      <c r="E727" s="2"/>
      <c r="F727" s="117"/>
      <c r="G727" s="12"/>
      <c r="H727" s="11"/>
      <c r="I727" s="11"/>
      <c r="J727" s="11"/>
      <c r="K727" s="11"/>
      <c r="L727" s="11"/>
      <c r="M727" s="11"/>
    </row>
    <row r="728" spans="1:13" s="5" customFormat="1" x14ac:dyDescent="0.25">
      <c r="A728" s="1"/>
      <c r="B728" s="4"/>
      <c r="C728" s="1"/>
      <c r="D728" s="3"/>
      <c r="E728" s="2"/>
      <c r="F728" s="117"/>
      <c r="G728" s="12"/>
      <c r="H728" s="11"/>
      <c r="I728" s="11"/>
      <c r="J728" s="11"/>
      <c r="K728" s="11"/>
      <c r="L728" s="11"/>
      <c r="M728" s="11"/>
    </row>
    <row r="729" spans="1:13" s="5" customFormat="1" x14ac:dyDescent="0.25">
      <c r="A729" s="1"/>
      <c r="B729" s="4"/>
      <c r="C729" s="1"/>
      <c r="D729" s="3"/>
      <c r="E729" s="2"/>
      <c r="F729" s="117"/>
      <c r="G729" s="12"/>
      <c r="H729" s="11"/>
      <c r="I729" s="11"/>
      <c r="J729" s="11"/>
      <c r="K729" s="11"/>
      <c r="L729" s="11"/>
      <c r="M729" s="11"/>
    </row>
    <row r="730" spans="1:13" s="5" customFormat="1" x14ac:dyDescent="0.25">
      <c r="A730" s="1"/>
      <c r="B730" s="4"/>
      <c r="C730" s="1"/>
      <c r="D730" s="3"/>
      <c r="E730" s="2"/>
      <c r="F730" s="117"/>
      <c r="G730" s="12"/>
      <c r="H730" s="11"/>
      <c r="I730" s="11"/>
      <c r="J730" s="11"/>
      <c r="K730" s="11"/>
      <c r="L730" s="11"/>
      <c r="M730" s="11"/>
    </row>
    <row r="731" spans="1:13" s="5" customFormat="1" x14ac:dyDescent="0.25">
      <c r="A731" s="1"/>
      <c r="B731" s="4"/>
      <c r="C731" s="1"/>
      <c r="D731" s="3"/>
      <c r="E731" s="2"/>
      <c r="F731" s="117"/>
      <c r="G731" s="12"/>
      <c r="H731" s="11"/>
      <c r="I731" s="11"/>
      <c r="J731" s="11"/>
      <c r="K731" s="11"/>
      <c r="L731" s="11"/>
      <c r="M731" s="11"/>
    </row>
    <row r="732" spans="1:13" s="5" customFormat="1" x14ac:dyDescent="0.25">
      <c r="A732" s="1"/>
      <c r="B732" s="4"/>
      <c r="C732" s="1"/>
      <c r="D732" s="3"/>
      <c r="E732" s="2"/>
      <c r="F732" s="117"/>
      <c r="G732" s="6"/>
    </row>
    <row r="733" spans="1:13" s="5" customFormat="1" x14ac:dyDescent="0.25">
      <c r="A733" s="1"/>
      <c r="B733" s="4"/>
      <c r="C733" s="1"/>
      <c r="D733" s="3"/>
      <c r="E733" s="2"/>
      <c r="F733" s="117"/>
      <c r="G733" s="6"/>
    </row>
    <row r="734" spans="1:13" s="5" customFormat="1" x14ac:dyDescent="0.25">
      <c r="A734" s="1"/>
      <c r="B734" s="4"/>
      <c r="C734" s="1"/>
      <c r="D734" s="3"/>
      <c r="E734" s="2"/>
      <c r="F734" s="117"/>
      <c r="G734" s="6"/>
    </row>
    <row r="735" spans="1:13" s="5" customFormat="1" x14ac:dyDescent="0.25">
      <c r="A735" s="1"/>
      <c r="B735" s="4"/>
      <c r="C735" s="1"/>
      <c r="D735" s="3"/>
      <c r="E735" s="2"/>
      <c r="F735" s="117"/>
      <c r="G735" s="6"/>
    </row>
    <row r="736" spans="1:13" s="5" customFormat="1" x14ac:dyDescent="0.25">
      <c r="A736" s="1"/>
      <c r="B736" s="4"/>
      <c r="C736" s="1"/>
      <c r="D736" s="3"/>
      <c r="E736" s="2"/>
      <c r="F736" s="117"/>
      <c r="G736" s="6"/>
    </row>
    <row r="737" spans="1:7" s="5" customFormat="1" x14ac:dyDescent="0.25">
      <c r="A737" s="1"/>
      <c r="B737" s="4"/>
      <c r="C737" s="1"/>
      <c r="D737" s="3"/>
      <c r="E737" s="2"/>
      <c r="F737" s="117"/>
      <c r="G737" s="6"/>
    </row>
    <row r="738" spans="1:7" s="5" customFormat="1" x14ac:dyDescent="0.25">
      <c r="A738" s="1"/>
      <c r="B738" s="4"/>
      <c r="C738" s="1"/>
      <c r="D738" s="3"/>
      <c r="E738" s="2"/>
      <c r="F738" s="117"/>
      <c r="G738" s="6"/>
    </row>
    <row r="739" spans="1:7" s="5" customFormat="1" x14ac:dyDescent="0.25">
      <c r="A739" s="1"/>
      <c r="B739" s="4"/>
      <c r="C739" s="1"/>
      <c r="D739" s="3"/>
      <c r="E739" s="2"/>
      <c r="F739" s="117"/>
      <c r="G739" s="6"/>
    </row>
    <row r="740" spans="1:7" s="5" customFormat="1" x14ac:dyDescent="0.25">
      <c r="A740" s="1"/>
      <c r="B740" s="4"/>
      <c r="C740" s="1"/>
      <c r="D740" s="3"/>
      <c r="E740" s="2"/>
      <c r="F740" s="117"/>
      <c r="G740" s="6"/>
    </row>
    <row r="741" spans="1:7" s="5" customFormat="1" x14ac:dyDescent="0.25">
      <c r="A741" s="1"/>
      <c r="B741" s="4"/>
      <c r="C741" s="1"/>
      <c r="D741" s="3"/>
      <c r="E741" s="2"/>
      <c r="F741" s="117"/>
      <c r="G741" s="6"/>
    </row>
    <row r="742" spans="1:7" s="5" customFormat="1" x14ac:dyDescent="0.25">
      <c r="A742" s="1"/>
      <c r="B742" s="4"/>
      <c r="C742" s="1"/>
      <c r="D742" s="3"/>
      <c r="E742" s="2"/>
      <c r="F742" s="117"/>
      <c r="G742" s="6"/>
    </row>
    <row r="743" spans="1:7" s="5" customFormat="1" x14ac:dyDescent="0.25">
      <c r="A743" s="1"/>
      <c r="B743" s="4"/>
      <c r="C743" s="1"/>
      <c r="D743" s="3"/>
      <c r="E743" s="2"/>
      <c r="F743" s="117"/>
      <c r="G743" s="6"/>
    </row>
    <row r="744" spans="1:7" s="5" customFormat="1" x14ac:dyDescent="0.25">
      <c r="A744" s="1"/>
      <c r="B744" s="4"/>
      <c r="C744" s="1"/>
      <c r="D744" s="3"/>
      <c r="E744" s="2"/>
      <c r="F744" s="117"/>
      <c r="G744" s="6"/>
    </row>
    <row r="745" spans="1:7" s="5" customFormat="1" x14ac:dyDescent="0.25">
      <c r="A745" s="1"/>
      <c r="B745" s="4"/>
      <c r="C745" s="1"/>
      <c r="D745" s="3"/>
      <c r="E745" s="2"/>
      <c r="F745" s="117"/>
      <c r="G745" s="6"/>
    </row>
    <row r="746" spans="1:7" s="5" customFormat="1" x14ac:dyDescent="0.25">
      <c r="A746" s="1"/>
      <c r="B746" s="4"/>
      <c r="C746" s="1"/>
      <c r="D746" s="3"/>
      <c r="E746" s="2"/>
      <c r="F746" s="117"/>
      <c r="G746" s="6"/>
    </row>
    <row r="747" spans="1:7" s="5" customFormat="1" x14ac:dyDescent="0.25">
      <c r="A747" s="1"/>
      <c r="B747" s="4"/>
      <c r="C747" s="1"/>
      <c r="D747" s="3"/>
      <c r="E747" s="2"/>
      <c r="F747" s="117"/>
      <c r="G747" s="6"/>
    </row>
    <row r="748" spans="1:7" s="5" customFormat="1" x14ac:dyDescent="0.25">
      <c r="A748" s="1"/>
      <c r="B748" s="4"/>
      <c r="C748" s="1"/>
      <c r="D748" s="3"/>
      <c r="E748" s="2"/>
      <c r="F748" s="117"/>
      <c r="G748" s="6"/>
    </row>
    <row r="749" spans="1:7" s="5" customFormat="1" x14ac:dyDescent="0.25">
      <c r="A749" s="1"/>
      <c r="B749" s="4"/>
      <c r="C749" s="1"/>
      <c r="D749" s="3"/>
      <c r="E749" s="2"/>
      <c r="F749" s="117"/>
      <c r="G749" s="6"/>
    </row>
    <row r="750" spans="1:7" s="5" customFormat="1" x14ac:dyDescent="0.25">
      <c r="A750" s="1"/>
      <c r="B750" s="4"/>
      <c r="C750" s="1"/>
      <c r="D750" s="3"/>
      <c r="E750" s="2"/>
      <c r="F750" s="117"/>
      <c r="G750" s="6"/>
    </row>
    <row r="751" spans="1:7" s="5" customFormat="1" x14ac:dyDescent="0.25">
      <c r="A751" s="1"/>
      <c r="B751" s="4"/>
      <c r="C751" s="1"/>
      <c r="D751" s="3"/>
      <c r="E751" s="2"/>
      <c r="F751" s="117"/>
      <c r="G751" s="6"/>
    </row>
    <row r="752" spans="1:7" s="5" customFormat="1" x14ac:dyDescent="0.25">
      <c r="A752" s="1"/>
      <c r="B752" s="4"/>
      <c r="C752" s="1"/>
      <c r="D752" s="3"/>
      <c r="E752" s="2"/>
      <c r="F752" s="117"/>
      <c r="G752" s="6"/>
    </row>
    <row r="753" spans="1:14" s="5" customFormat="1" x14ac:dyDescent="0.25">
      <c r="A753" s="1"/>
      <c r="B753" s="4"/>
      <c r="C753" s="1"/>
      <c r="D753" s="3"/>
      <c r="E753" s="2"/>
      <c r="F753" s="117"/>
      <c r="G753" s="6"/>
    </row>
    <row r="754" spans="1:14" s="5" customFormat="1" x14ac:dyDescent="0.25">
      <c r="A754" s="1"/>
      <c r="B754" s="4"/>
      <c r="C754" s="1"/>
      <c r="D754" s="3"/>
      <c r="E754" s="2"/>
      <c r="F754" s="117"/>
      <c r="G754" s="6"/>
    </row>
    <row r="755" spans="1:14" s="5" customFormat="1" x14ac:dyDescent="0.25">
      <c r="A755" s="1"/>
      <c r="B755" s="4"/>
      <c r="C755" s="1"/>
      <c r="D755" s="3"/>
      <c r="E755" s="2"/>
      <c r="F755" s="117"/>
      <c r="G755" s="6"/>
    </row>
    <row r="756" spans="1:14" s="5" customFormat="1" x14ac:dyDescent="0.25">
      <c r="A756" s="1"/>
      <c r="B756" s="4"/>
      <c r="C756" s="1"/>
      <c r="D756" s="3"/>
      <c r="E756" s="2"/>
      <c r="F756" s="117"/>
      <c r="G756" s="6"/>
    </row>
    <row r="757" spans="1:14" s="5" customFormat="1" x14ac:dyDescent="0.25">
      <c r="A757" s="1"/>
      <c r="B757" s="4"/>
      <c r="C757" s="1"/>
      <c r="D757" s="3"/>
      <c r="E757" s="2"/>
      <c r="F757" s="117"/>
      <c r="G757" s="6"/>
    </row>
    <row r="758" spans="1:14" s="5" customFormat="1" x14ac:dyDescent="0.25">
      <c r="A758" s="1"/>
      <c r="B758" s="4"/>
      <c r="C758" s="1"/>
      <c r="D758" s="3"/>
      <c r="E758" s="2"/>
      <c r="F758" s="117"/>
      <c r="G758" s="6"/>
    </row>
    <row r="759" spans="1:14" s="5" customFormat="1" x14ac:dyDescent="0.25">
      <c r="A759" s="1"/>
      <c r="B759" s="4"/>
      <c r="C759" s="1"/>
      <c r="D759" s="3"/>
      <c r="E759" s="2"/>
      <c r="F759" s="117"/>
      <c r="G759" s="6"/>
      <c r="N759" s="10"/>
    </row>
    <row r="760" spans="1:14" s="5" customFormat="1" x14ac:dyDescent="0.25">
      <c r="A760" s="1"/>
      <c r="B760" s="4"/>
      <c r="C760" s="1"/>
      <c r="D760" s="3"/>
      <c r="E760" s="2"/>
      <c r="F760" s="117"/>
      <c r="G760" s="6"/>
    </row>
    <row r="761" spans="1:14" s="5" customFormat="1" x14ac:dyDescent="0.25">
      <c r="A761" s="1"/>
      <c r="B761" s="4"/>
      <c r="C761" s="1"/>
      <c r="D761" s="3"/>
      <c r="E761" s="2"/>
      <c r="F761" s="117"/>
      <c r="G761" s="6"/>
    </row>
    <row r="762" spans="1:14" s="5" customFormat="1" x14ac:dyDescent="0.25">
      <c r="A762" s="1"/>
      <c r="B762" s="4"/>
      <c r="C762" s="1"/>
      <c r="D762" s="3"/>
      <c r="E762" s="2"/>
      <c r="F762" s="117"/>
      <c r="G762" s="6"/>
    </row>
    <row r="763" spans="1:14" s="5" customFormat="1" x14ac:dyDescent="0.25">
      <c r="A763" s="1"/>
      <c r="B763" s="4"/>
      <c r="C763" s="1"/>
      <c r="D763" s="3"/>
      <c r="E763" s="2"/>
      <c r="F763" s="117"/>
      <c r="G763" s="6"/>
    </row>
    <row r="764" spans="1:14" s="5" customFormat="1" x14ac:dyDescent="0.25">
      <c r="A764" s="1"/>
      <c r="B764" s="4"/>
      <c r="C764" s="1"/>
      <c r="D764" s="3"/>
      <c r="E764" s="2"/>
      <c r="F764" s="117"/>
      <c r="G764" s="6"/>
    </row>
    <row r="765" spans="1:14" s="5" customFormat="1" x14ac:dyDescent="0.25">
      <c r="A765" s="1"/>
      <c r="B765" s="4"/>
      <c r="C765" s="1"/>
      <c r="D765" s="3"/>
      <c r="E765" s="2"/>
      <c r="F765" s="117"/>
      <c r="G765" s="6"/>
    </row>
    <row r="766" spans="1:14" s="5" customFormat="1" x14ac:dyDescent="0.25">
      <c r="A766" s="1"/>
      <c r="B766" s="4"/>
      <c r="C766" s="1"/>
      <c r="D766" s="3"/>
      <c r="E766" s="2"/>
      <c r="F766" s="117"/>
      <c r="G766" s="6"/>
      <c r="N766" s="10"/>
    </row>
    <row r="767" spans="1:14" s="5" customFormat="1" x14ac:dyDescent="0.25">
      <c r="A767" s="1"/>
      <c r="B767" s="4"/>
      <c r="C767" s="1"/>
      <c r="D767" s="3"/>
      <c r="E767" s="2"/>
      <c r="F767" s="117"/>
      <c r="G767" s="6"/>
    </row>
    <row r="768" spans="1:14" s="5" customFormat="1" x14ac:dyDescent="0.25">
      <c r="A768" s="1"/>
      <c r="B768" s="4"/>
      <c r="C768" s="1"/>
      <c r="D768" s="3"/>
      <c r="E768" s="2"/>
      <c r="F768" s="117"/>
      <c r="G768" s="6"/>
    </row>
    <row r="769" spans="1:7" s="5" customFormat="1" x14ac:dyDescent="0.25">
      <c r="A769" s="1"/>
      <c r="B769" s="4"/>
      <c r="C769" s="1"/>
      <c r="D769" s="3"/>
      <c r="E769" s="2"/>
      <c r="F769" s="117"/>
      <c r="G769" s="6"/>
    </row>
    <row r="770" spans="1:7" s="5" customFormat="1" x14ac:dyDescent="0.25">
      <c r="A770" s="1"/>
      <c r="B770" s="4"/>
      <c r="C770" s="1"/>
      <c r="D770" s="3"/>
      <c r="E770" s="2"/>
      <c r="F770" s="117"/>
      <c r="G770" s="6"/>
    </row>
    <row r="771" spans="1:7" s="5" customFormat="1" x14ac:dyDescent="0.25">
      <c r="A771" s="1"/>
      <c r="B771" s="4"/>
      <c r="C771" s="1"/>
      <c r="D771" s="3"/>
      <c r="E771" s="2"/>
      <c r="F771" s="117"/>
      <c r="G771" s="6"/>
    </row>
    <row r="772" spans="1:7" s="5" customFormat="1" x14ac:dyDescent="0.25">
      <c r="A772" s="1"/>
      <c r="B772" s="4"/>
      <c r="C772" s="1"/>
      <c r="D772" s="3"/>
      <c r="E772" s="2"/>
      <c r="F772" s="117"/>
      <c r="G772" s="6"/>
    </row>
    <row r="773" spans="1:7" s="5" customFormat="1" x14ac:dyDescent="0.25">
      <c r="A773" s="1"/>
      <c r="B773" s="4"/>
      <c r="C773" s="1"/>
      <c r="D773" s="3"/>
      <c r="E773" s="2"/>
      <c r="F773" s="117"/>
      <c r="G773" s="6"/>
    </row>
    <row r="774" spans="1:7" s="5" customFormat="1" x14ac:dyDescent="0.25">
      <c r="A774" s="1"/>
      <c r="B774" s="4"/>
      <c r="C774" s="1"/>
      <c r="D774" s="3"/>
      <c r="E774" s="2"/>
      <c r="F774" s="117"/>
      <c r="G774" s="6"/>
    </row>
    <row r="775" spans="1:7" s="5" customFormat="1" x14ac:dyDescent="0.25">
      <c r="A775" s="1"/>
      <c r="B775" s="4"/>
      <c r="C775" s="1"/>
      <c r="D775" s="3"/>
      <c r="E775" s="2"/>
      <c r="F775" s="117"/>
      <c r="G775" s="6"/>
    </row>
    <row r="776" spans="1:7" s="5" customFormat="1" x14ac:dyDescent="0.25">
      <c r="A776" s="1"/>
      <c r="B776" s="4"/>
      <c r="C776" s="1"/>
      <c r="D776" s="3"/>
      <c r="E776" s="2"/>
      <c r="F776" s="117"/>
      <c r="G776" s="6"/>
    </row>
    <row r="777" spans="1:7" s="5" customFormat="1" x14ac:dyDescent="0.25">
      <c r="A777" s="1"/>
      <c r="B777" s="4"/>
      <c r="C777" s="1"/>
      <c r="D777" s="3"/>
      <c r="E777" s="2"/>
      <c r="F777" s="117"/>
      <c r="G777" s="6"/>
    </row>
    <row r="778" spans="1:7" s="5" customFormat="1" x14ac:dyDescent="0.25">
      <c r="A778" s="1"/>
      <c r="B778" s="4"/>
      <c r="C778" s="1"/>
      <c r="D778" s="3"/>
      <c r="E778" s="2"/>
      <c r="F778" s="117"/>
      <c r="G778" s="6"/>
    </row>
    <row r="779" spans="1:7" s="5" customFormat="1" x14ac:dyDescent="0.25">
      <c r="A779" s="1"/>
      <c r="B779" s="4"/>
      <c r="C779" s="1"/>
      <c r="D779" s="3"/>
      <c r="E779" s="2"/>
      <c r="F779" s="117"/>
      <c r="G779" s="6"/>
    </row>
    <row r="780" spans="1:7" s="5" customFormat="1" x14ac:dyDescent="0.25">
      <c r="A780" s="1"/>
      <c r="B780" s="4"/>
      <c r="C780" s="1"/>
      <c r="D780" s="3"/>
      <c r="E780" s="2"/>
      <c r="F780" s="117"/>
      <c r="G780" s="6"/>
    </row>
    <row r="781" spans="1:7" s="5" customFormat="1" x14ac:dyDescent="0.25">
      <c r="A781" s="1"/>
      <c r="B781" s="4"/>
      <c r="C781" s="1"/>
      <c r="D781" s="3"/>
      <c r="E781" s="2"/>
      <c r="F781" s="117"/>
      <c r="G781" s="6"/>
    </row>
    <row r="782" spans="1:7" s="5" customFormat="1" x14ac:dyDescent="0.25">
      <c r="A782" s="1"/>
      <c r="B782" s="4"/>
      <c r="C782" s="1"/>
      <c r="D782" s="3"/>
      <c r="E782" s="2"/>
      <c r="F782" s="117"/>
      <c r="G782" s="6"/>
    </row>
    <row r="783" spans="1:7" s="5" customFormat="1" x14ac:dyDescent="0.25">
      <c r="A783" s="1"/>
      <c r="B783" s="4"/>
      <c r="C783" s="1"/>
      <c r="D783" s="3"/>
      <c r="E783" s="2"/>
      <c r="F783" s="117"/>
      <c r="G783" s="6"/>
    </row>
    <row r="784" spans="1:7" s="5" customFormat="1" x14ac:dyDescent="0.25">
      <c r="A784" s="1"/>
      <c r="B784" s="4"/>
      <c r="C784" s="1"/>
      <c r="D784" s="3"/>
      <c r="E784" s="2"/>
      <c r="F784" s="117"/>
      <c r="G784" s="6"/>
    </row>
    <row r="785" spans="1:15" s="5" customFormat="1" x14ac:dyDescent="0.25">
      <c r="A785" s="1"/>
      <c r="B785" s="4"/>
      <c r="C785" s="1"/>
      <c r="D785" s="3"/>
      <c r="E785" s="2"/>
      <c r="F785" s="117"/>
      <c r="G785" s="6"/>
    </row>
    <row r="786" spans="1:15" s="5" customFormat="1" x14ac:dyDescent="0.25">
      <c r="A786" s="1"/>
      <c r="B786" s="4"/>
      <c r="C786" s="1"/>
      <c r="D786" s="3"/>
      <c r="E786" s="2"/>
      <c r="F786" s="117"/>
      <c r="G786" s="6"/>
    </row>
    <row r="787" spans="1:15" s="5" customFormat="1" x14ac:dyDescent="0.25">
      <c r="A787" s="1"/>
      <c r="B787" s="4"/>
      <c r="C787" s="1"/>
      <c r="D787" s="3"/>
      <c r="E787" s="2"/>
      <c r="F787" s="117"/>
      <c r="G787" s="6"/>
    </row>
    <row r="788" spans="1:15" s="5" customFormat="1" x14ac:dyDescent="0.25">
      <c r="A788" s="1"/>
      <c r="B788" s="4"/>
      <c r="C788" s="1"/>
      <c r="D788" s="3"/>
      <c r="E788" s="2"/>
      <c r="F788" s="117"/>
      <c r="G788" s="6"/>
    </row>
    <row r="789" spans="1:15" s="5" customFormat="1" x14ac:dyDescent="0.25">
      <c r="A789" s="1"/>
      <c r="B789" s="4"/>
      <c r="C789" s="1"/>
      <c r="D789" s="3"/>
      <c r="E789" s="2"/>
      <c r="F789" s="117"/>
      <c r="G789" s="6"/>
    </row>
    <row r="790" spans="1:15" s="5" customFormat="1" x14ac:dyDescent="0.25">
      <c r="A790" s="1"/>
      <c r="B790" s="4"/>
      <c r="C790" s="1"/>
      <c r="D790" s="3"/>
      <c r="E790" s="2"/>
      <c r="F790" s="117"/>
      <c r="G790" s="6"/>
    </row>
    <row r="791" spans="1:15" s="5" customFormat="1" x14ac:dyDescent="0.25">
      <c r="A791" s="1"/>
      <c r="B791" s="4"/>
      <c r="C791" s="1"/>
      <c r="D791" s="3"/>
      <c r="E791" s="2"/>
      <c r="F791" s="117"/>
      <c r="G791" s="6"/>
    </row>
    <row r="792" spans="1:15" s="5" customFormat="1" x14ac:dyDescent="0.25">
      <c r="A792" s="1"/>
      <c r="B792" s="4"/>
      <c r="C792" s="1"/>
      <c r="D792" s="3"/>
      <c r="E792" s="2"/>
      <c r="F792" s="117"/>
      <c r="G792" s="6"/>
    </row>
    <row r="793" spans="1:15" s="5" customFormat="1" x14ac:dyDescent="0.25">
      <c r="A793" s="1"/>
      <c r="B793" s="4"/>
      <c r="C793" s="1"/>
      <c r="D793" s="3"/>
      <c r="E793" s="2"/>
      <c r="F793" s="117"/>
      <c r="G793" s="6"/>
      <c r="O793" s="9"/>
    </row>
    <row r="794" spans="1:15" s="5" customFormat="1" x14ac:dyDescent="0.25">
      <c r="A794" s="1"/>
      <c r="B794" s="4"/>
      <c r="C794" s="1"/>
      <c r="D794" s="3"/>
      <c r="E794" s="2"/>
      <c r="F794" s="117"/>
      <c r="G794" s="6"/>
    </row>
    <row r="795" spans="1:15" s="5" customFormat="1" x14ac:dyDescent="0.25">
      <c r="A795" s="1"/>
      <c r="B795" s="4"/>
      <c r="C795" s="1"/>
      <c r="D795" s="3"/>
      <c r="E795" s="2"/>
      <c r="F795" s="117"/>
      <c r="G795" s="6"/>
    </row>
    <row r="796" spans="1:15" s="5" customFormat="1" x14ac:dyDescent="0.25">
      <c r="A796" s="1"/>
      <c r="B796" s="4"/>
      <c r="C796" s="1"/>
      <c r="D796" s="3"/>
      <c r="E796" s="2"/>
      <c r="F796" s="117"/>
      <c r="G796" s="6"/>
    </row>
    <row r="797" spans="1:15" s="5" customFormat="1" x14ac:dyDescent="0.25">
      <c r="A797" s="1"/>
      <c r="B797" s="4"/>
      <c r="C797" s="1"/>
      <c r="D797" s="3"/>
      <c r="E797" s="2"/>
      <c r="F797" s="117"/>
      <c r="G797" s="6"/>
    </row>
    <row r="798" spans="1:15" s="5" customFormat="1" x14ac:dyDescent="0.25">
      <c r="A798" s="1"/>
      <c r="B798" s="4"/>
      <c r="C798" s="1"/>
      <c r="D798" s="3"/>
      <c r="E798" s="2"/>
      <c r="F798" s="117"/>
      <c r="G798" s="6"/>
    </row>
    <row r="799" spans="1:15" s="5" customFormat="1" x14ac:dyDescent="0.25">
      <c r="A799" s="1"/>
      <c r="B799" s="4"/>
      <c r="C799" s="1"/>
      <c r="D799" s="3"/>
      <c r="E799" s="2"/>
      <c r="F799" s="117"/>
      <c r="G799" s="6"/>
    </row>
    <row r="800" spans="1:15" s="5" customFormat="1" x14ac:dyDescent="0.25">
      <c r="A800" s="1"/>
      <c r="B800" s="4"/>
      <c r="C800" s="1"/>
      <c r="D800" s="3"/>
      <c r="E800" s="2"/>
      <c r="F800" s="117"/>
      <c r="G800" s="6"/>
    </row>
    <row r="801" spans="1:7" s="5" customFormat="1" x14ac:dyDescent="0.25">
      <c r="A801" s="1"/>
      <c r="B801" s="4"/>
      <c r="C801" s="1"/>
      <c r="D801" s="3"/>
      <c r="E801" s="2"/>
      <c r="F801" s="117"/>
      <c r="G801" s="6"/>
    </row>
    <row r="802" spans="1:7" s="5" customFormat="1" x14ac:dyDescent="0.25">
      <c r="A802" s="1"/>
      <c r="B802" s="4"/>
      <c r="C802" s="1"/>
      <c r="D802" s="3"/>
      <c r="E802" s="2"/>
      <c r="F802" s="117"/>
      <c r="G802" s="6"/>
    </row>
    <row r="803" spans="1:7" s="5" customFormat="1" x14ac:dyDescent="0.25">
      <c r="A803" s="1"/>
      <c r="B803" s="4"/>
      <c r="C803" s="1"/>
      <c r="D803" s="3"/>
      <c r="E803" s="2"/>
      <c r="F803" s="117"/>
      <c r="G803" s="6"/>
    </row>
    <row r="804" spans="1:7" s="5" customFormat="1" x14ac:dyDescent="0.25">
      <c r="A804" s="1"/>
      <c r="B804" s="4"/>
      <c r="C804" s="1"/>
      <c r="D804" s="3"/>
      <c r="E804" s="2"/>
      <c r="F804" s="117"/>
      <c r="G804" s="6"/>
    </row>
    <row r="805" spans="1:7" s="5" customFormat="1" x14ac:dyDescent="0.25">
      <c r="A805" s="1"/>
      <c r="B805" s="4"/>
      <c r="C805" s="1"/>
      <c r="D805" s="3"/>
      <c r="E805" s="2"/>
      <c r="F805" s="117"/>
      <c r="G805" s="6"/>
    </row>
    <row r="806" spans="1:7" s="5" customFormat="1" x14ac:dyDescent="0.25">
      <c r="A806" s="1"/>
      <c r="B806" s="4"/>
      <c r="C806" s="1"/>
      <c r="D806" s="3"/>
      <c r="E806" s="2"/>
      <c r="F806" s="117"/>
      <c r="G806" s="6"/>
    </row>
    <row r="807" spans="1:7" s="5" customFormat="1" x14ac:dyDescent="0.25">
      <c r="A807" s="1"/>
      <c r="B807" s="4"/>
      <c r="C807" s="1"/>
      <c r="D807" s="3"/>
      <c r="E807" s="2"/>
      <c r="F807" s="117"/>
      <c r="G807" s="6"/>
    </row>
    <row r="808" spans="1:7" s="5" customFormat="1" x14ac:dyDescent="0.25">
      <c r="A808" s="1"/>
      <c r="B808" s="4"/>
      <c r="C808" s="1"/>
      <c r="D808" s="3"/>
      <c r="E808" s="2"/>
      <c r="F808" s="117"/>
      <c r="G808" s="6"/>
    </row>
    <row r="809" spans="1:7" s="5" customFormat="1" x14ac:dyDescent="0.25">
      <c r="A809" s="1"/>
      <c r="B809" s="4"/>
      <c r="C809" s="1"/>
      <c r="D809" s="3"/>
      <c r="E809" s="2"/>
      <c r="F809" s="117"/>
      <c r="G809" s="6"/>
    </row>
    <row r="810" spans="1:7" s="5" customFormat="1" x14ac:dyDescent="0.25">
      <c r="A810" s="1"/>
      <c r="B810" s="4"/>
      <c r="C810" s="1"/>
      <c r="D810" s="3"/>
      <c r="E810" s="2"/>
      <c r="F810" s="117"/>
      <c r="G810" s="6"/>
    </row>
    <row r="811" spans="1:7" s="5" customFormat="1" x14ac:dyDescent="0.25">
      <c r="A811" s="1"/>
      <c r="B811" s="4"/>
      <c r="C811" s="1"/>
      <c r="D811" s="3"/>
      <c r="E811" s="2"/>
      <c r="F811" s="117"/>
      <c r="G811" s="6"/>
    </row>
    <row r="812" spans="1:7" s="5" customFormat="1" x14ac:dyDescent="0.25">
      <c r="A812" s="1"/>
      <c r="B812" s="4"/>
      <c r="C812" s="1"/>
      <c r="D812" s="3"/>
      <c r="E812" s="2"/>
      <c r="F812" s="117"/>
      <c r="G812" s="6"/>
    </row>
    <row r="813" spans="1:7" s="5" customFormat="1" x14ac:dyDescent="0.25">
      <c r="A813" s="1"/>
      <c r="B813" s="4"/>
      <c r="C813" s="1"/>
      <c r="D813" s="3"/>
      <c r="E813" s="2"/>
      <c r="F813" s="117"/>
      <c r="G813" s="6"/>
    </row>
    <row r="814" spans="1:7" s="5" customFormat="1" x14ac:dyDescent="0.25">
      <c r="A814" s="1"/>
      <c r="B814" s="4"/>
      <c r="C814" s="1"/>
      <c r="D814" s="3"/>
      <c r="E814" s="2"/>
      <c r="F814" s="117"/>
      <c r="G814" s="6"/>
    </row>
    <row r="815" spans="1:7" s="5" customFormat="1" x14ac:dyDescent="0.25">
      <c r="A815" s="1"/>
      <c r="B815" s="4"/>
      <c r="C815" s="1"/>
      <c r="D815" s="3"/>
      <c r="E815" s="2"/>
      <c r="F815" s="117"/>
      <c r="G815" s="6"/>
    </row>
    <row r="816" spans="1:7" s="5" customFormat="1" x14ac:dyDescent="0.25">
      <c r="A816" s="1"/>
      <c r="B816" s="4"/>
      <c r="C816" s="1"/>
      <c r="D816" s="3"/>
      <c r="E816" s="2"/>
      <c r="F816" s="117"/>
      <c r="G816" s="6"/>
    </row>
    <row r="817" spans="1:7" s="5" customFormat="1" x14ac:dyDescent="0.25">
      <c r="A817" s="1"/>
      <c r="B817" s="4"/>
      <c r="C817" s="1"/>
      <c r="D817" s="3"/>
      <c r="E817" s="2"/>
      <c r="F817" s="117"/>
      <c r="G817" s="6"/>
    </row>
    <row r="818" spans="1:7" s="5" customFormat="1" x14ac:dyDescent="0.25">
      <c r="A818" s="1"/>
      <c r="B818" s="4"/>
      <c r="C818" s="1"/>
      <c r="D818" s="3"/>
      <c r="E818" s="2"/>
      <c r="F818" s="117"/>
      <c r="G818" s="6"/>
    </row>
    <row r="819" spans="1:7" s="5" customFormat="1" x14ac:dyDescent="0.25">
      <c r="A819" s="1"/>
      <c r="B819" s="4"/>
      <c r="C819" s="1"/>
      <c r="D819" s="3"/>
      <c r="E819" s="2"/>
      <c r="F819" s="117"/>
      <c r="G819" s="6"/>
    </row>
    <row r="820" spans="1:7" s="5" customFormat="1" x14ac:dyDescent="0.25">
      <c r="A820" s="1"/>
      <c r="B820" s="4"/>
      <c r="C820" s="1"/>
      <c r="D820" s="3"/>
      <c r="E820" s="2"/>
      <c r="F820" s="117"/>
      <c r="G820" s="6"/>
    </row>
    <row r="821" spans="1:7" s="5" customFormat="1" x14ac:dyDescent="0.25">
      <c r="A821" s="1"/>
      <c r="B821" s="4"/>
      <c r="C821" s="1"/>
      <c r="D821" s="3"/>
      <c r="E821" s="2"/>
      <c r="F821" s="117"/>
      <c r="G821" s="6"/>
    </row>
    <row r="822" spans="1:7" s="5" customFormat="1" x14ac:dyDescent="0.25">
      <c r="A822" s="1"/>
      <c r="B822" s="4"/>
      <c r="C822" s="1"/>
      <c r="D822" s="3"/>
      <c r="E822" s="2"/>
      <c r="F822" s="117"/>
      <c r="G822" s="6"/>
    </row>
    <row r="823" spans="1:7" s="5" customFormat="1" x14ac:dyDescent="0.25">
      <c r="A823" s="1"/>
      <c r="B823" s="4"/>
      <c r="C823" s="1"/>
      <c r="D823" s="3"/>
      <c r="E823" s="2"/>
      <c r="F823" s="117"/>
      <c r="G823" s="6"/>
    </row>
    <row r="824" spans="1:7" s="5" customFormat="1" x14ac:dyDescent="0.25">
      <c r="A824" s="1"/>
      <c r="B824" s="4"/>
      <c r="C824" s="1"/>
      <c r="D824" s="3"/>
      <c r="E824" s="2"/>
      <c r="F824" s="117"/>
      <c r="G824" s="6"/>
    </row>
    <row r="825" spans="1:7" s="5" customFormat="1" x14ac:dyDescent="0.25">
      <c r="A825" s="1"/>
      <c r="B825" s="4"/>
      <c r="C825" s="1"/>
      <c r="D825" s="3"/>
      <c r="E825" s="2"/>
      <c r="F825" s="117"/>
      <c r="G825" s="6"/>
    </row>
    <row r="826" spans="1:7" s="5" customFormat="1" x14ac:dyDescent="0.25">
      <c r="A826" s="1"/>
      <c r="B826" s="4"/>
      <c r="C826" s="1"/>
      <c r="D826" s="3"/>
      <c r="E826" s="2"/>
      <c r="F826" s="117"/>
      <c r="G826" s="6"/>
    </row>
    <row r="827" spans="1:7" s="5" customFormat="1" x14ac:dyDescent="0.25">
      <c r="A827" s="1"/>
      <c r="B827" s="4"/>
      <c r="C827" s="1"/>
      <c r="D827" s="3"/>
      <c r="E827" s="2"/>
      <c r="F827" s="117"/>
      <c r="G827" s="6"/>
    </row>
    <row r="828" spans="1:7" s="5" customFormat="1" x14ac:dyDescent="0.25">
      <c r="A828" s="1"/>
      <c r="B828" s="4"/>
      <c r="C828" s="1"/>
      <c r="D828" s="3"/>
      <c r="E828" s="2"/>
      <c r="F828" s="117"/>
      <c r="G828" s="6"/>
    </row>
    <row r="829" spans="1:7" s="5" customFormat="1" x14ac:dyDescent="0.25">
      <c r="A829" s="1"/>
      <c r="B829" s="4"/>
      <c r="C829" s="1"/>
      <c r="D829" s="3"/>
      <c r="E829" s="2"/>
      <c r="F829" s="117"/>
      <c r="G829" s="6"/>
    </row>
    <row r="830" spans="1:7" s="5" customFormat="1" x14ac:dyDescent="0.25">
      <c r="A830" s="1"/>
      <c r="B830" s="4"/>
      <c r="C830" s="1"/>
      <c r="D830" s="3"/>
      <c r="E830" s="2"/>
      <c r="F830" s="117"/>
      <c r="G830" s="6"/>
    </row>
    <row r="831" spans="1:7" s="5" customFormat="1" x14ac:dyDescent="0.25">
      <c r="A831" s="1"/>
      <c r="B831" s="4"/>
      <c r="C831" s="1"/>
      <c r="D831" s="3"/>
      <c r="E831" s="2"/>
      <c r="F831" s="117"/>
      <c r="G831" s="6"/>
    </row>
    <row r="832" spans="1:7" s="5" customFormat="1" x14ac:dyDescent="0.25">
      <c r="A832" s="1"/>
      <c r="B832" s="4"/>
      <c r="C832" s="1"/>
      <c r="D832" s="3"/>
      <c r="E832" s="2"/>
      <c r="F832" s="117"/>
      <c r="G832" s="6"/>
    </row>
    <row r="833" spans="1:7" s="5" customFormat="1" x14ac:dyDescent="0.25">
      <c r="A833" s="1"/>
      <c r="B833" s="4"/>
      <c r="C833" s="1"/>
      <c r="D833" s="3"/>
      <c r="E833" s="2"/>
      <c r="F833" s="117"/>
      <c r="G833" s="6"/>
    </row>
    <row r="834" spans="1:7" s="5" customFormat="1" x14ac:dyDescent="0.25">
      <c r="A834" s="1"/>
      <c r="B834" s="4"/>
      <c r="C834" s="1"/>
      <c r="D834" s="3"/>
      <c r="E834" s="2"/>
      <c r="F834" s="117"/>
      <c r="G834" s="6"/>
    </row>
    <row r="835" spans="1:7" s="5" customFormat="1" x14ac:dyDescent="0.25">
      <c r="A835" s="1"/>
      <c r="B835" s="4"/>
      <c r="C835" s="1"/>
      <c r="D835" s="3"/>
      <c r="E835" s="2"/>
      <c r="F835" s="117"/>
      <c r="G835" s="6"/>
    </row>
    <row r="836" spans="1:7" s="5" customFormat="1" x14ac:dyDescent="0.25">
      <c r="A836" s="1"/>
      <c r="B836" s="4"/>
      <c r="C836" s="1"/>
      <c r="D836" s="3"/>
      <c r="E836" s="2"/>
      <c r="F836" s="117"/>
      <c r="G836" s="6"/>
    </row>
    <row r="837" spans="1:7" s="5" customFormat="1" x14ac:dyDescent="0.25">
      <c r="A837" s="1"/>
      <c r="B837" s="4"/>
      <c r="C837" s="1"/>
      <c r="D837" s="3"/>
      <c r="E837" s="2"/>
      <c r="F837" s="117"/>
      <c r="G837" s="6"/>
    </row>
    <row r="838" spans="1:7" s="5" customFormat="1" x14ac:dyDescent="0.25">
      <c r="A838" s="1"/>
      <c r="B838" s="4"/>
      <c r="C838" s="1"/>
      <c r="D838" s="3"/>
      <c r="E838" s="2"/>
      <c r="F838" s="117"/>
      <c r="G838" s="6"/>
    </row>
    <row r="839" spans="1:7" s="5" customFormat="1" x14ac:dyDescent="0.25">
      <c r="A839" s="1"/>
      <c r="B839" s="4"/>
      <c r="C839" s="1"/>
      <c r="D839" s="3"/>
      <c r="E839" s="2"/>
      <c r="F839" s="117"/>
      <c r="G839" s="6"/>
    </row>
    <row r="840" spans="1:7" s="5" customFormat="1" x14ac:dyDescent="0.25">
      <c r="A840" s="1"/>
      <c r="B840" s="4"/>
      <c r="C840" s="1"/>
      <c r="D840" s="3"/>
      <c r="E840" s="2"/>
      <c r="F840" s="117"/>
      <c r="G840" s="6"/>
    </row>
    <row r="841" spans="1:7" s="5" customFormat="1" x14ac:dyDescent="0.25">
      <c r="A841" s="1"/>
      <c r="B841" s="4"/>
      <c r="C841" s="1"/>
      <c r="D841" s="3"/>
      <c r="E841" s="2"/>
      <c r="F841" s="117"/>
      <c r="G841" s="6"/>
    </row>
    <row r="842" spans="1:7" s="5" customFormat="1" x14ac:dyDescent="0.25">
      <c r="A842" s="1"/>
      <c r="B842" s="4"/>
      <c r="C842" s="1"/>
      <c r="D842" s="3"/>
      <c r="E842" s="2"/>
      <c r="F842" s="117"/>
      <c r="G842" s="6"/>
    </row>
    <row r="843" spans="1:7" s="5" customFormat="1" x14ac:dyDescent="0.25">
      <c r="A843" s="1"/>
      <c r="B843" s="4"/>
      <c r="C843" s="1"/>
      <c r="D843" s="3"/>
      <c r="E843" s="2"/>
      <c r="F843" s="117"/>
      <c r="G843" s="6"/>
    </row>
    <row r="844" spans="1:7" s="5" customFormat="1" x14ac:dyDescent="0.25">
      <c r="A844" s="1"/>
      <c r="B844" s="4"/>
      <c r="C844" s="1"/>
      <c r="D844" s="3"/>
      <c r="E844" s="2"/>
      <c r="F844" s="117"/>
      <c r="G844" s="6"/>
    </row>
    <row r="845" spans="1:7" s="5" customFormat="1" x14ac:dyDescent="0.25">
      <c r="A845" s="1"/>
      <c r="B845" s="4"/>
      <c r="C845" s="1"/>
      <c r="D845" s="3"/>
      <c r="E845" s="2"/>
      <c r="F845" s="117"/>
      <c r="G845" s="6"/>
    </row>
    <row r="846" spans="1:7" s="5" customFormat="1" x14ac:dyDescent="0.25">
      <c r="A846" s="1"/>
      <c r="B846" s="4"/>
      <c r="C846" s="1"/>
      <c r="D846" s="3"/>
      <c r="E846" s="2"/>
      <c r="F846" s="117"/>
      <c r="G846" s="6"/>
    </row>
    <row r="847" spans="1:7" s="5" customFormat="1" x14ac:dyDescent="0.25">
      <c r="A847" s="1"/>
      <c r="B847" s="4"/>
      <c r="C847" s="1"/>
      <c r="D847" s="3"/>
      <c r="E847" s="2"/>
      <c r="F847" s="117"/>
      <c r="G847" s="6"/>
    </row>
    <row r="848" spans="1:7" s="5" customFormat="1" x14ac:dyDescent="0.25">
      <c r="A848" s="1"/>
      <c r="B848" s="4"/>
      <c r="C848" s="1"/>
      <c r="D848" s="3"/>
      <c r="E848" s="2"/>
      <c r="F848" s="117"/>
      <c r="G848" s="6"/>
    </row>
    <row r="849" spans="1:7" s="5" customFormat="1" x14ac:dyDescent="0.25">
      <c r="A849" s="1"/>
      <c r="B849" s="4"/>
      <c r="C849" s="1"/>
      <c r="D849" s="3"/>
      <c r="E849" s="2"/>
      <c r="F849" s="117"/>
      <c r="G849" s="6"/>
    </row>
    <row r="850" spans="1:7" s="5" customFormat="1" x14ac:dyDescent="0.25">
      <c r="A850" s="1"/>
      <c r="B850" s="4"/>
      <c r="C850" s="1"/>
      <c r="D850" s="3"/>
      <c r="E850" s="2"/>
      <c r="F850" s="117"/>
      <c r="G850" s="6"/>
    </row>
    <row r="851" spans="1:7" s="5" customFormat="1" x14ac:dyDescent="0.25">
      <c r="A851" s="1"/>
      <c r="B851" s="4"/>
      <c r="C851" s="1"/>
      <c r="D851" s="3"/>
      <c r="E851" s="2"/>
      <c r="F851" s="117"/>
      <c r="G851" s="6"/>
    </row>
    <row r="852" spans="1:7" s="5" customFormat="1" x14ac:dyDescent="0.25">
      <c r="A852" s="1"/>
      <c r="B852" s="4"/>
      <c r="C852" s="1"/>
      <c r="D852" s="3"/>
      <c r="E852" s="2"/>
      <c r="F852" s="117"/>
      <c r="G852" s="6"/>
    </row>
    <row r="853" spans="1:7" s="5" customFormat="1" x14ac:dyDescent="0.25">
      <c r="A853" s="1"/>
      <c r="B853" s="4"/>
      <c r="C853" s="1"/>
      <c r="D853" s="3"/>
      <c r="E853" s="2"/>
      <c r="F853" s="117"/>
    </row>
    <row r="854" spans="1:7" s="5" customFormat="1" x14ac:dyDescent="0.25">
      <c r="A854" s="1"/>
      <c r="B854" s="4"/>
      <c r="C854" s="1"/>
      <c r="D854" s="3"/>
      <c r="E854" s="2"/>
      <c r="F854" s="117"/>
    </row>
    <row r="855" spans="1:7" s="5" customFormat="1" ht="15" x14ac:dyDescent="0.25">
      <c r="A855" s="1"/>
      <c r="B855" s="4"/>
      <c r="C855" s="1"/>
      <c r="D855" s="3"/>
      <c r="E855" s="2"/>
      <c r="F855" s="117"/>
      <c r="G855" s="8"/>
    </row>
    <row r="892" spans="1:7" s="5" customFormat="1" x14ac:dyDescent="0.25">
      <c r="A892" s="1"/>
      <c r="B892" s="4"/>
      <c r="C892" s="1"/>
      <c r="D892" s="3"/>
      <c r="E892" s="2"/>
      <c r="F892" s="117"/>
      <c r="G892" s="6"/>
    </row>
    <row r="893" spans="1:7" s="5" customFormat="1" x14ac:dyDescent="0.25">
      <c r="A893" s="1"/>
      <c r="B893" s="4"/>
      <c r="C893" s="1"/>
      <c r="D893" s="3"/>
      <c r="E893" s="2"/>
      <c r="F893" s="117"/>
      <c r="G893" s="6"/>
    </row>
    <row r="894" spans="1:7" s="5" customFormat="1" x14ac:dyDescent="0.25">
      <c r="A894" s="1"/>
      <c r="B894" s="4"/>
      <c r="C894" s="1"/>
      <c r="D894" s="3"/>
      <c r="E894" s="2"/>
      <c r="F894" s="117"/>
      <c r="G894" s="6"/>
    </row>
    <row r="895" spans="1:7" s="5" customFormat="1" x14ac:dyDescent="0.25">
      <c r="A895" s="1"/>
      <c r="B895" s="4"/>
      <c r="C895" s="1"/>
      <c r="D895" s="3"/>
      <c r="E895" s="2"/>
      <c r="F895" s="117"/>
      <c r="G895" s="6"/>
    </row>
    <row r="896" spans="1:7" s="5" customFormat="1" ht="15" x14ac:dyDescent="0.25">
      <c r="A896" s="1"/>
      <c r="B896" s="4"/>
      <c r="C896" s="1"/>
      <c r="D896" s="3"/>
      <c r="E896" s="2"/>
      <c r="F896" s="117"/>
      <c r="G896" s="8"/>
    </row>
    <row r="897" spans="1:7" s="5" customFormat="1" x14ac:dyDescent="0.25">
      <c r="A897" s="1"/>
      <c r="B897" s="4"/>
      <c r="C897" s="1"/>
      <c r="D897" s="3"/>
      <c r="E897" s="2"/>
      <c r="F897" s="117"/>
    </row>
    <row r="898" spans="1:7" s="5" customFormat="1" ht="15" x14ac:dyDescent="0.25">
      <c r="A898" s="1"/>
      <c r="B898" s="4"/>
      <c r="C898" s="1"/>
      <c r="D898" s="3"/>
      <c r="E898" s="2"/>
      <c r="F898" s="117"/>
      <c r="G898" s="8"/>
    </row>
    <row r="899" spans="1:7" s="5" customFormat="1" ht="15" x14ac:dyDescent="0.25">
      <c r="A899" s="1"/>
      <c r="B899" s="4"/>
      <c r="C899" s="1"/>
      <c r="D899" s="3"/>
      <c r="E899" s="2"/>
      <c r="F899" s="117"/>
      <c r="G899" s="8"/>
    </row>
    <row r="900" spans="1:7" s="5" customFormat="1" x14ac:dyDescent="0.25">
      <c r="A900" s="1"/>
      <c r="B900" s="4"/>
      <c r="C900" s="1"/>
      <c r="D900" s="3"/>
      <c r="E900" s="2"/>
      <c r="F900" s="117"/>
      <c r="G900" s="7"/>
    </row>
    <row r="901" spans="1:7" s="5" customFormat="1" ht="15" x14ac:dyDescent="0.25">
      <c r="A901" s="1"/>
      <c r="B901" s="4"/>
      <c r="C901" s="1"/>
      <c r="D901" s="3"/>
      <c r="E901" s="2"/>
      <c r="F901" s="117"/>
      <c r="G901" s="8"/>
    </row>
    <row r="939" spans="1:7" s="5" customFormat="1" x14ac:dyDescent="0.25">
      <c r="A939" s="1"/>
      <c r="B939" s="4"/>
      <c r="C939" s="1"/>
      <c r="D939" s="3"/>
      <c r="E939" s="2"/>
      <c r="F939" s="117"/>
      <c r="G939" s="6"/>
    </row>
    <row r="940" spans="1:7" s="5" customFormat="1" x14ac:dyDescent="0.25">
      <c r="A940" s="1"/>
      <c r="B940" s="4"/>
      <c r="C940" s="1"/>
      <c r="D940" s="3"/>
      <c r="E940" s="2"/>
      <c r="F940" s="117"/>
      <c r="G940" s="6"/>
    </row>
    <row r="941" spans="1:7" s="5" customFormat="1" x14ac:dyDescent="0.25">
      <c r="A941" s="1"/>
      <c r="B941" s="4"/>
      <c r="C941" s="1"/>
      <c r="D941" s="3"/>
      <c r="E941" s="2"/>
      <c r="F941" s="117"/>
      <c r="G941" s="6"/>
    </row>
    <row r="942" spans="1:7" s="5" customFormat="1" ht="15" x14ac:dyDescent="0.25">
      <c r="A942" s="1"/>
      <c r="B942" s="4"/>
      <c r="C942" s="1"/>
      <c r="D942" s="3"/>
      <c r="E942" s="2"/>
      <c r="F942" s="117"/>
      <c r="G942" s="8"/>
    </row>
    <row r="943" spans="1:7" s="5" customFormat="1" x14ac:dyDescent="0.25">
      <c r="A943" s="1"/>
      <c r="B943" s="4"/>
      <c r="C943" s="1"/>
      <c r="D943" s="3"/>
      <c r="E943" s="2"/>
      <c r="F943" s="117"/>
    </row>
    <row r="944" spans="1:7" s="5" customFormat="1" ht="15" x14ac:dyDescent="0.25">
      <c r="A944" s="1"/>
      <c r="B944" s="4"/>
      <c r="C944" s="1"/>
      <c r="D944" s="3"/>
      <c r="E944" s="2"/>
      <c r="F944" s="117"/>
      <c r="G944" s="8"/>
    </row>
    <row r="945" spans="1:7" s="5" customFormat="1" ht="15" x14ac:dyDescent="0.25">
      <c r="A945" s="1"/>
      <c r="B945" s="4"/>
      <c r="C945" s="1"/>
      <c r="D945" s="3"/>
      <c r="E945" s="2"/>
      <c r="F945" s="117"/>
      <c r="G945" s="8"/>
    </row>
    <row r="946" spans="1:7" s="5" customFormat="1" x14ac:dyDescent="0.25">
      <c r="A946" s="1"/>
      <c r="B946" s="4"/>
      <c r="C946" s="1"/>
      <c r="D946" s="3"/>
      <c r="E946" s="2"/>
      <c r="F946" s="117"/>
      <c r="G946" s="7"/>
    </row>
    <row r="947" spans="1:7" s="5" customFormat="1" ht="15" x14ac:dyDescent="0.25">
      <c r="A947" s="1"/>
      <c r="B947" s="4"/>
      <c r="C947" s="1"/>
      <c r="D947" s="3"/>
      <c r="E947" s="2"/>
      <c r="F947" s="117"/>
      <c r="G947" s="8"/>
    </row>
    <row r="1001" spans="1:7" s="5" customFormat="1" x14ac:dyDescent="0.25">
      <c r="A1001" s="1"/>
      <c r="B1001" s="4"/>
      <c r="C1001" s="1"/>
      <c r="D1001" s="3"/>
      <c r="E1001" s="2"/>
      <c r="F1001" s="117"/>
      <c r="G1001" s="6"/>
    </row>
    <row r="1002" spans="1:7" s="5" customFormat="1" x14ac:dyDescent="0.25">
      <c r="A1002" s="1"/>
      <c r="B1002" s="4"/>
      <c r="C1002" s="1"/>
      <c r="D1002" s="3"/>
      <c r="E1002" s="2"/>
      <c r="F1002" s="117"/>
      <c r="G1002" s="7"/>
    </row>
    <row r="1062" spans="1:7" s="5" customFormat="1" x14ac:dyDescent="0.25">
      <c r="A1062" s="1"/>
      <c r="B1062" s="4"/>
      <c r="C1062" s="1"/>
      <c r="D1062" s="3"/>
      <c r="E1062" s="2"/>
      <c r="F1062" s="117"/>
      <c r="G1062" s="6"/>
    </row>
    <row r="1063" spans="1:7" s="5" customFormat="1" x14ac:dyDescent="0.25">
      <c r="A1063" s="1"/>
      <c r="B1063" s="4"/>
      <c r="C1063" s="1"/>
      <c r="D1063" s="3"/>
      <c r="E1063" s="2"/>
      <c r="F1063" s="117"/>
      <c r="G1063" s="7"/>
    </row>
    <row r="1107" spans="1:7" s="5" customFormat="1" x14ac:dyDescent="0.25">
      <c r="A1107" s="1"/>
      <c r="B1107" s="4"/>
      <c r="C1107" s="1"/>
      <c r="D1107" s="3"/>
      <c r="E1107" s="2"/>
      <c r="F1107" s="117"/>
      <c r="G1107" s="6"/>
    </row>
    <row r="1108" spans="1:7" s="5" customFormat="1" x14ac:dyDescent="0.25">
      <c r="A1108" s="1"/>
      <c r="B1108" s="4"/>
      <c r="C1108" s="1"/>
      <c r="D1108" s="3"/>
      <c r="E1108" s="2"/>
      <c r="F1108" s="117"/>
      <c r="G1108" s="6"/>
    </row>
    <row r="1193" spans="1:7" s="5" customFormat="1" x14ac:dyDescent="0.25">
      <c r="A1193" s="1"/>
      <c r="B1193" s="4"/>
      <c r="C1193" s="1"/>
      <c r="D1193" s="3"/>
      <c r="E1193" s="2"/>
      <c r="F1193" s="117"/>
      <c r="G1193" s="6"/>
    </row>
    <row r="1194" spans="1:7" s="5" customFormat="1" x14ac:dyDescent="0.25">
      <c r="A1194" s="1"/>
      <c r="B1194" s="4"/>
      <c r="C1194" s="1"/>
      <c r="D1194" s="3"/>
      <c r="E1194" s="2"/>
      <c r="F1194" s="117"/>
      <c r="G1194" s="7"/>
    </row>
    <row r="1195" spans="1:7" s="5" customFormat="1" x14ac:dyDescent="0.25">
      <c r="A1195" s="1"/>
      <c r="B1195" s="4"/>
      <c r="C1195" s="1"/>
      <c r="D1195" s="3"/>
      <c r="E1195" s="2"/>
      <c r="F1195" s="117"/>
      <c r="G1195" s="7"/>
    </row>
    <row r="1242" spans="1:7" s="5" customFormat="1" x14ac:dyDescent="0.25">
      <c r="A1242" s="1"/>
      <c r="B1242" s="4"/>
      <c r="C1242" s="1"/>
      <c r="D1242" s="3"/>
      <c r="E1242" s="2"/>
      <c r="F1242" s="117"/>
      <c r="G1242" s="6"/>
    </row>
    <row r="1243" spans="1:7" s="5" customFormat="1" x14ac:dyDescent="0.25">
      <c r="A1243" s="1"/>
      <c r="B1243" s="4"/>
      <c r="C1243" s="1"/>
      <c r="D1243" s="3"/>
      <c r="E1243" s="2"/>
      <c r="F1243" s="117"/>
      <c r="G1243" s="6"/>
    </row>
    <row r="1244" spans="1:7" s="5" customFormat="1" x14ac:dyDescent="0.25">
      <c r="A1244" s="1"/>
      <c r="B1244" s="4"/>
      <c r="C1244" s="1"/>
      <c r="D1244" s="3"/>
      <c r="E1244" s="2"/>
      <c r="F1244" s="117"/>
      <c r="G1244" s="7"/>
    </row>
    <row r="1245" spans="1:7" s="5" customFormat="1" x14ac:dyDescent="0.25">
      <c r="A1245" s="1"/>
      <c r="B1245" s="4"/>
      <c r="C1245" s="1"/>
      <c r="D1245" s="3"/>
      <c r="E1245" s="2"/>
      <c r="F1245" s="117"/>
      <c r="G1245" s="6"/>
    </row>
    <row r="1246" spans="1:7" s="5" customFormat="1" x14ac:dyDescent="0.25">
      <c r="A1246" s="1"/>
      <c r="B1246" s="4"/>
      <c r="C1246" s="1"/>
      <c r="D1246" s="3"/>
      <c r="E1246" s="2"/>
      <c r="F1246" s="117"/>
      <c r="G1246" s="6"/>
    </row>
    <row r="1247" spans="1:7" s="5" customFormat="1" x14ac:dyDescent="0.25">
      <c r="A1247" s="1"/>
      <c r="B1247" s="4"/>
      <c r="C1247" s="1"/>
      <c r="D1247" s="3"/>
      <c r="E1247" s="2"/>
      <c r="F1247" s="117"/>
      <c r="G1247" s="6"/>
    </row>
    <row r="1248" spans="1:7" s="5" customFormat="1" ht="15" x14ac:dyDescent="0.25">
      <c r="A1248" s="1"/>
      <c r="B1248" s="4"/>
      <c r="C1248" s="1"/>
      <c r="D1248" s="3"/>
      <c r="E1248" s="2"/>
      <c r="F1248" s="117"/>
      <c r="G1248" s="8"/>
    </row>
    <row r="1249" spans="1:7" s="5" customFormat="1" x14ac:dyDescent="0.25">
      <c r="A1249" s="1"/>
      <c r="B1249" s="4"/>
      <c r="C1249" s="1"/>
      <c r="D1249" s="3"/>
      <c r="E1249" s="2"/>
      <c r="F1249" s="117"/>
    </row>
    <row r="1250" spans="1:7" s="5" customFormat="1" ht="15" x14ac:dyDescent="0.25">
      <c r="A1250" s="1"/>
      <c r="B1250" s="4"/>
      <c r="C1250" s="1"/>
      <c r="D1250" s="3"/>
      <c r="E1250" s="2"/>
      <c r="F1250" s="117"/>
      <c r="G1250" s="8"/>
    </row>
    <row r="1251" spans="1:7" s="5" customFormat="1" ht="15" x14ac:dyDescent="0.25">
      <c r="A1251" s="1"/>
      <c r="B1251" s="4"/>
      <c r="C1251" s="1"/>
      <c r="D1251" s="3"/>
      <c r="E1251" s="2"/>
      <c r="F1251" s="117"/>
      <c r="G1251" s="8"/>
    </row>
    <row r="1252" spans="1:7" s="5" customFormat="1" x14ac:dyDescent="0.25">
      <c r="A1252" s="1"/>
      <c r="B1252" s="4"/>
      <c r="C1252" s="1"/>
      <c r="D1252" s="3"/>
      <c r="E1252" s="2"/>
      <c r="F1252" s="117"/>
      <c r="G1252" s="7"/>
    </row>
    <row r="1253" spans="1:7" s="5" customFormat="1" ht="15" x14ac:dyDescent="0.25">
      <c r="A1253" s="1"/>
      <c r="B1253" s="4"/>
      <c r="C1253" s="1"/>
      <c r="D1253" s="3"/>
      <c r="E1253" s="2"/>
      <c r="F1253" s="117"/>
      <c r="G1253" s="8"/>
    </row>
    <row r="1254" spans="1:7" s="5" customFormat="1" ht="15" x14ac:dyDescent="0.25">
      <c r="A1254" s="1"/>
      <c r="B1254" s="4"/>
      <c r="C1254" s="1"/>
      <c r="D1254" s="3"/>
      <c r="E1254" s="2"/>
      <c r="F1254" s="117"/>
      <c r="G1254" s="8"/>
    </row>
    <row r="1285" spans="1:7" s="5" customFormat="1" x14ac:dyDescent="0.25">
      <c r="A1285" s="1"/>
      <c r="B1285" s="4"/>
      <c r="C1285" s="1"/>
      <c r="D1285" s="3"/>
      <c r="E1285" s="2"/>
      <c r="F1285" s="117"/>
      <c r="G1285" s="6"/>
    </row>
    <row r="1286" spans="1:7" s="5" customFormat="1" x14ac:dyDescent="0.25">
      <c r="A1286" s="1"/>
      <c r="B1286" s="4"/>
      <c r="C1286" s="1"/>
      <c r="D1286" s="3"/>
      <c r="E1286" s="2"/>
      <c r="F1286" s="117"/>
      <c r="G1286" s="7"/>
    </row>
    <row r="1287" spans="1:7" s="5" customFormat="1" x14ac:dyDescent="0.25">
      <c r="A1287" s="1"/>
      <c r="B1287" s="4"/>
      <c r="C1287" s="1"/>
      <c r="D1287" s="3"/>
      <c r="E1287" s="2"/>
      <c r="F1287" s="117"/>
      <c r="G1287" s="6"/>
    </row>
    <row r="1288" spans="1:7" s="5" customFormat="1" x14ac:dyDescent="0.25">
      <c r="A1288" s="1"/>
      <c r="B1288" s="4"/>
      <c r="C1288" s="1"/>
      <c r="D1288" s="3"/>
      <c r="E1288" s="2"/>
      <c r="F1288" s="117"/>
      <c r="G1288" s="6"/>
    </row>
    <row r="1289" spans="1:7" s="5" customFormat="1" x14ac:dyDescent="0.25">
      <c r="A1289" s="1"/>
      <c r="B1289" s="4"/>
      <c r="C1289" s="1"/>
      <c r="D1289" s="3"/>
      <c r="E1289" s="2"/>
      <c r="F1289" s="117"/>
      <c r="G1289" s="6"/>
    </row>
    <row r="1290" spans="1:7" s="5" customFormat="1" x14ac:dyDescent="0.25">
      <c r="A1290" s="1"/>
      <c r="B1290" s="4"/>
      <c r="C1290" s="1"/>
      <c r="D1290" s="3"/>
      <c r="E1290" s="2"/>
      <c r="F1290" s="117"/>
      <c r="G1290" s="6"/>
    </row>
    <row r="1291" spans="1:7" s="5" customFormat="1" x14ac:dyDescent="0.25">
      <c r="A1291" s="1"/>
      <c r="B1291" s="4"/>
      <c r="C1291" s="1"/>
      <c r="D1291" s="3"/>
      <c r="E1291" s="2"/>
      <c r="F1291" s="117"/>
      <c r="G1291" s="6"/>
    </row>
    <row r="1292" spans="1:7" s="5" customFormat="1" x14ac:dyDescent="0.25">
      <c r="A1292" s="1"/>
      <c r="B1292" s="4"/>
      <c r="C1292" s="1"/>
      <c r="D1292" s="3"/>
      <c r="E1292" s="2"/>
      <c r="F1292" s="117"/>
      <c r="G1292" s="6"/>
    </row>
    <row r="1293" spans="1:7" s="5" customFormat="1" x14ac:dyDescent="0.25">
      <c r="A1293" s="1"/>
      <c r="B1293" s="4"/>
      <c r="C1293" s="1"/>
      <c r="D1293" s="3"/>
      <c r="E1293" s="2"/>
      <c r="F1293" s="117"/>
      <c r="G1293" s="6"/>
    </row>
    <row r="1294" spans="1:7" s="5" customFormat="1" x14ac:dyDescent="0.25">
      <c r="A1294" s="1"/>
      <c r="B1294" s="4"/>
      <c r="C1294" s="1"/>
      <c r="D1294" s="3"/>
      <c r="E1294" s="2"/>
      <c r="F1294" s="117"/>
      <c r="G1294" s="6"/>
    </row>
    <row r="1295" spans="1:7" s="5" customFormat="1" x14ac:dyDescent="0.25">
      <c r="A1295" s="1"/>
      <c r="B1295" s="4"/>
      <c r="C1295" s="1"/>
      <c r="D1295" s="3"/>
      <c r="E1295" s="2"/>
      <c r="F1295" s="117"/>
      <c r="G1295" s="6"/>
    </row>
    <row r="1296" spans="1:7" s="5" customFormat="1" x14ac:dyDescent="0.25">
      <c r="A1296" s="1"/>
      <c r="B1296" s="4"/>
      <c r="C1296" s="1"/>
      <c r="D1296" s="3"/>
      <c r="E1296" s="2"/>
      <c r="F1296" s="117"/>
      <c r="G1296" s="6"/>
    </row>
    <row r="1297" spans="1:7" s="5" customFormat="1" x14ac:dyDescent="0.25">
      <c r="A1297" s="1"/>
      <c r="B1297" s="4"/>
      <c r="C1297" s="1"/>
      <c r="D1297" s="3"/>
      <c r="E1297" s="2"/>
      <c r="F1297" s="117"/>
      <c r="G1297" s="6"/>
    </row>
    <row r="1298" spans="1:7" s="5" customFormat="1" x14ac:dyDescent="0.25">
      <c r="A1298" s="1"/>
      <c r="B1298" s="4"/>
      <c r="C1298" s="1"/>
      <c r="D1298" s="3"/>
      <c r="E1298" s="2"/>
      <c r="F1298" s="117"/>
      <c r="G1298" s="6"/>
    </row>
    <row r="1299" spans="1:7" s="5" customFormat="1" x14ac:dyDescent="0.25">
      <c r="A1299" s="1"/>
      <c r="B1299" s="4"/>
      <c r="C1299" s="1"/>
      <c r="D1299" s="3"/>
      <c r="E1299" s="2"/>
      <c r="F1299" s="117"/>
      <c r="G1299" s="6"/>
    </row>
    <row r="1300" spans="1:7" s="5" customFormat="1" x14ac:dyDescent="0.25">
      <c r="A1300" s="1"/>
      <c r="B1300" s="4"/>
      <c r="C1300" s="1"/>
      <c r="D1300" s="3"/>
      <c r="E1300" s="2"/>
      <c r="F1300" s="117"/>
      <c r="G1300" s="6"/>
    </row>
    <row r="1301" spans="1:7" s="5" customFormat="1" x14ac:dyDescent="0.25">
      <c r="A1301" s="1"/>
      <c r="B1301" s="4"/>
      <c r="C1301" s="1"/>
      <c r="D1301" s="3"/>
      <c r="E1301" s="2"/>
      <c r="F1301" s="117"/>
      <c r="G1301" s="6"/>
    </row>
    <row r="1302" spans="1:7" s="5" customFormat="1" x14ac:dyDescent="0.25">
      <c r="A1302" s="1"/>
      <c r="B1302" s="4"/>
      <c r="C1302" s="1"/>
      <c r="D1302" s="3"/>
      <c r="E1302" s="2"/>
      <c r="F1302" s="117"/>
      <c r="G1302" s="6"/>
    </row>
    <row r="1303" spans="1:7" s="5" customFormat="1" x14ac:dyDescent="0.25">
      <c r="A1303" s="1"/>
      <c r="B1303" s="4"/>
      <c r="C1303" s="1"/>
      <c r="D1303" s="3"/>
      <c r="E1303" s="2"/>
      <c r="F1303" s="117"/>
      <c r="G1303" s="6"/>
    </row>
    <row r="1304" spans="1:7" s="5" customFormat="1" x14ac:dyDescent="0.25">
      <c r="A1304" s="1"/>
      <c r="B1304" s="4"/>
      <c r="C1304" s="1"/>
      <c r="D1304" s="3"/>
      <c r="E1304" s="2"/>
      <c r="F1304" s="117"/>
      <c r="G1304" s="6"/>
    </row>
    <row r="1305" spans="1:7" s="5" customFormat="1" x14ac:dyDescent="0.25">
      <c r="A1305" s="1"/>
      <c r="B1305" s="4"/>
      <c r="C1305" s="1"/>
      <c r="D1305" s="3"/>
      <c r="E1305" s="2"/>
      <c r="F1305" s="117"/>
      <c r="G1305" s="6"/>
    </row>
    <row r="1306" spans="1:7" s="5" customFormat="1" x14ac:dyDescent="0.25">
      <c r="A1306" s="1"/>
      <c r="B1306" s="4"/>
      <c r="C1306" s="1"/>
      <c r="D1306" s="3"/>
      <c r="E1306" s="2"/>
      <c r="F1306" s="117"/>
      <c r="G1306" s="6"/>
    </row>
    <row r="1307" spans="1:7" s="5" customFormat="1" x14ac:dyDescent="0.25">
      <c r="A1307" s="1"/>
      <c r="B1307" s="4"/>
      <c r="C1307" s="1"/>
      <c r="D1307" s="3"/>
      <c r="E1307" s="2"/>
      <c r="F1307" s="117"/>
      <c r="G1307" s="6"/>
    </row>
    <row r="1308" spans="1:7" s="5" customFormat="1" x14ac:dyDescent="0.25">
      <c r="A1308" s="1"/>
      <c r="B1308" s="4"/>
      <c r="C1308" s="1"/>
      <c r="D1308" s="3"/>
      <c r="E1308" s="2"/>
      <c r="F1308" s="117"/>
      <c r="G1308" s="6"/>
    </row>
    <row r="1309" spans="1:7" s="5" customFormat="1" x14ac:dyDescent="0.25">
      <c r="A1309" s="1"/>
      <c r="B1309" s="4"/>
      <c r="C1309" s="1"/>
      <c r="D1309" s="3"/>
      <c r="E1309" s="2"/>
      <c r="F1309" s="117"/>
      <c r="G1309" s="6"/>
    </row>
    <row r="1310" spans="1:7" s="5" customFormat="1" x14ac:dyDescent="0.25">
      <c r="A1310" s="1"/>
      <c r="B1310" s="4"/>
      <c r="C1310" s="1"/>
      <c r="D1310" s="3"/>
      <c r="E1310" s="2"/>
      <c r="F1310" s="117"/>
      <c r="G1310" s="6"/>
    </row>
    <row r="1311" spans="1:7" s="5" customFormat="1" x14ac:dyDescent="0.25">
      <c r="A1311" s="1"/>
      <c r="B1311" s="4"/>
      <c r="C1311" s="1"/>
      <c r="D1311" s="3"/>
      <c r="E1311" s="2"/>
      <c r="F1311" s="117"/>
      <c r="G1311" s="6"/>
    </row>
    <row r="1312" spans="1:7" s="5" customFormat="1" x14ac:dyDescent="0.25">
      <c r="A1312" s="1"/>
      <c r="B1312" s="4"/>
      <c r="C1312" s="1"/>
      <c r="D1312" s="3"/>
      <c r="E1312" s="2"/>
      <c r="F1312" s="117"/>
      <c r="G1312" s="6"/>
    </row>
    <row r="1313" spans="1:7" s="5" customFormat="1" x14ac:dyDescent="0.25">
      <c r="A1313" s="1"/>
      <c r="B1313" s="4"/>
      <c r="C1313" s="1"/>
      <c r="D1313" s="3"/>
      <c r="E1313" s="2"/>
      <c r="F1313" s="117"/>
      <c r="G1313" s="6"/>
    </row>
    <row r="1314" spans="1:7" s="5" customFormat="1" x14ac:dyDescent="0.25">
      <c r="A1314" s="1"/>
      <c r="B1314" s="4"/>
      <c r="C1314" s="1"/>
      <c r="D1314" s="3"/>
      <c r="E1314" s="2"/>
      <c r="F1314" s="117"/>
      <c r="G1314" s="6"/>
    </row>
    <row r="1315" spans="1:7" s="5" customFormat="1" x14ac:dyDescent="0.25">
      <c r="A1315" s="1"/>
      <c r="B1315" s="4"/>
      <c r="C1315" s="1"/>
      <c r="D1315" s="3"/>
      <c r="E1315" s="2"/>
      <c r="F1315" s="117"/>
      <c r="G1315" s="6"/>
    </row>
    <row r="1316" spans="1:7" s="5" customFormat="1" x14ac:dyDescent="0.25">
      <c r="A1316" s="1"/>
      <c r="B1316" s="4"/>
      <c r="C1316" s="1"/>
      <c r="D1316" s="3"/>
      <c r="E1316" s="2"/>
      <c r="F1316" s="117"/>
      <c r="G1316" s="6"/>
    </row>
    <row r="1317" spans="1:7" s="5" customFormat="1" x14ac:dyDescent="0.25">
      <c r="A1317" s="1"/>
      <c r="B1317" s="4"/>
      <c r="C1317" s="1"/>
      <c r="D1317" s="3"/>
      <c r="E1317" s="2"/>
      <c r="F1317" s="117"/>
      <c r="G1317" s="6"/>
    </row>
    <row r="1318" spans="1:7" s="5" customFormat="1" x14ac:dyDescent="0.25">
      <c r="A1318" s="1"/>
      <c r="B1318" s="4"/>
      <c r="C1318" s="1"/>
      <c r="D1318" s="3"/>
      <c r="E1318" s="2"/>
      <c r="F1318" s="117"/>
      <c r="G1318" s="6"/>
    </row>
    <row r="1319" spans="1:7" s="5" customFormat="1" x14ac:dyDescent="0.25">
      <c r="A1319" s="1"/>
      <c r="B1319" s="4"/>
      <c r="C1319" s="1"/>
      <c r="D1319" s="3"/>
      <c r="E1319" s="2"/>
      <c r="F1319" s="117"/>
      <c r="G1319" s="6"/>
    </row>
    <row r="1320" spans="1:7" s="5" customFormat="1" x14ac:dyDescent="0.25">
      <c r="A1320" s="1"/>
      <c r="B1320" s="4"/>
      <c r="C1320" s="1"/>
      <c r="D1320" s="3"/>
      <c r="E1320" s="2"/>
      <c r="F1320" s="117"/>
      <c r="G1320" s="6"/>
    </row>
    <row r="1321" spans="1:7" s="5" customFormat="1" x14ac:dyDescent="0.25">
      <c r="A1321" s="1"/>
      <c r="B1321" s="4"/>
      <c r="C1321" s="1"/>
      <c r="D1321" s="3"/>
      <c r="E1321" s="2"/>
      <c r="F1321" s="117"/>
      <c r="G1321" s="6"/>
    </row>
    <row r="1322" spans="1:7" s="5" customFormat="1" x14ac:dyDescent="0.25">
      <c r="A1322" s="1"/>
      <c r="B1322" s="4"/>
      <c r="C1322" s="1"/>
      <c r="D1322" s="3"/>
      <c r="E1322" s="2"/>
      <c r="F1322" s="117"/>
      <c r="G1322" s="6"/>
    </row>
    <row r="1323" spans="1:7" s="5" customFormat="1" x14ac:dyDescent="0.25">
      <c r="A1323" s="1"/>
      <c r="B1323" s="4"/>
      <c r="C1323" s="1"/>
      <c r="D1323" s="3"/>
      <c r="E1323" s="2"/>
      <c r="F1323" s="117"/>
      <c r="G1323" s="6"/>
    </row>
    <row r="1324" spans="1:7" s="5" customFormat="1" x14ac:dyDescent="0.25">
      <c r="A1324" s="1"/>
      <c r="B1324" s="4"/>
      <c r="C1324" s="1"/>
      <c r="D1324" s="3"/>
      <c r="E1324" s="2"/>
      <c r="F1324" s="117"/>
      <c r="G1324" s="6"/>
    </row>
    <row r="1325" spans="1:7" s="5" customFormat="1" x14ac:dyDescent="0.25">
      <c r="A1325" s="1"/>
      <c r="B1325" s="4"/>
      <c r="C1325" s="1"/>
      <c r="D1325" s="3"/>
      <c r="E1325" s="2"/>
      <c r="F1325" s="117"/>
      <c r="G1325" s="6"/>
    </row>
    <row r="1326" spans="1:7" s="5" customFormat="1" x14ac:dyDescent="0.25">
      <c r="A1326" s="1"/>
      <c r="B1326" s="4"/>
      <c r="C1326" s="1"/>
      <c r="D1326" s="3"/>
      <c r="E1326" s="2"/>
      <c r="F1326" s="117"/>
      <c r="G1326" s="6"/>
    </row>
    <row r="1327" spans="1:7" s="5" customFormat="1" x14ac:dyDescent="0.25">
      <c r="A1327" s="1"/>
      <c r="B1327" s="4"/>
      <c r="C1327" s="1"/>
      <c r="D1327" s="3"/>
      <c r="E1327" s="2"/>
      <c r="F1327" s="117"/>
      <c r="G1327" s="6"/>
    </row>
    <row r="1328" spans="1:7" s="5" customFormat="1" x14ac:dyDescent="0.25">
      <c r="A1328" s="1"/>
      <c r="B1328" s="4"/>
      <c r="C1328" s="1"/>
      <c r="D1328" s="3"/>
      <c r="E1328" s="2"/>
      <c r="F1328" s="117"/>
      <c r="G1328" s="6"/>
    </row>
    <row r="1329" spans="1:7" s="5" customFormat="1" x14ac:dyDescent="0.25">
      <c r="A1329" s="1"/>
      <c r="B1329" s="4"/>
      <c r="C1329" s="1"/>
      <c r="D1329" s="3"/>
      <c r="E1329" s="2"/>
      <c r="F1329" s="117"/>
      <c r="G1329" s="6"/>
    </row>
    <row r="1330" spans="1:7" s="5" customFormat="1" x14ac:dyDescent="0.25">
      <c r="A1330" s="1"/>
      <c r="B1330" s="4"/>
      <c r="C1330" s="1"/>
      <c r="D1330" s="3"/>
      <c r="E1330" s="2"/>
      <c r="F1330" s="117"/>
      <c r="G1330" s="6"/>
    </row>
    <row r="1331" spans="1:7" s="5" customFormat="1" x14ac:dyDescent="0.25">
      <c r="A1331" s="1"/>
      <c r="B1331" s="4"/>
      <c r="C1331" s="1"/>
      <c r="D1331" s="3"/>
      <c r="E1331" s="2"/>
      <c r="F1331" s="117"/>
      <c r="G1331" s="6"/>
    </row>
    <row r="1332" spans="1:7" s="5" customFormat="1" ht="15" x14ac:dyDescent="0.25">
      <c r="A1332" s="1"/>
      <c r="B1332" s="4"/>
      <c r="C1332" s="1"/>
      <c r="D1332" s="3"/>
      <c r="E1332" s="2"/>
      <c r="F1332" s="117"/>
      <c r="G1332" s="8"/>
    </row>
    <row r="1333" spans="1:7" s="5" customFormat="1" x14ac:dyDescent="0.25">
      <c r="A1333" s="1"/>
      <c r="B1333" s="4"/>
      <c r="C1333" s="1"/>
      <c r="D1333" s="3"/>
      <c r="E1333" s="2"/>
      <c r="F1333" s="117"/>
    </row>
    <row r="1334" spans="1:7" s="5" customFormat="1" ht="15" x14ac:dyDescent="0.25">
      <c r="A1334" s="1"/>
      <c r="B1334" s="4"/>
      <c r="C1334" s="1"/>
      <c r="D1334" s="3"/>
      <c r="E1334" s="2"/>
      <c r="F1334" s="117"/>
      <c r="G1334" s="8"/>
    </row>
    <row r="1368" spans="1:7" s="5" customFormat="1" x14ac:dyDescent="0.25">
      <c r="A1368" s="1"/>
      <c r="B1368" s="4"/>
      <c r="C1368" s="1"/>
      <c r="D1368" s="3"/>
      <c r="E1368" s="2"/>
      <c r="F1368" s="117"/>
      <c r="G1368" s="6"/>
    </row>
    <row r="1369" spans="1:7" s="5" customFormat="1" x14ac:dyDescent="0.25">
      <c r="A1369" s="1"/>
      <c r="B1369" s="4"/>
      <c r="C1369" s="1"/>
      <c r="D1369" s="3"/>
      <c r="E1369" s="2"/>
      <c r="F1369" s="117"/>
      <c r="G1369" s="6"/>
    </row>
    <row r="1370" spans="1:7" s="5" customFormat="1" ht="15" x14ac:dyDescent="0.25">
      <c r="A1370" s="1"/>
      <c r="B1370" s="4"/>
      <c r="C1370" s="1"/>
      <c r="D1370" s="3"/>
      <c r="E1370" s="2"/>
      <c r="F1370" s="117"/>
      <c r="G1370" s="8"/>
    </row>
    <row r="1371" spans="1:7" s="5" customFormat="1" x14ac:dyDescent="0.25">
      <c r="A1371" s="1"/>
      <c r="B1371" s="4"/>
      <c r="C1371" s="1"/>
      <c r="D1371" s="3"/>
      <c r="E1371" s="2"/>
      <c r="F1371" s="117"/>
    </row>
    <row r="1372" spans="1:7" s="5" customFormat="1" ht="15" x14ac:dyDescent="0.25">
      <c r="A1372" s="1"/>
      <c r="B1372" s="4"/>
      <c r="C1372" s="1"/>
      <c r="D1372" s="3"/>
      <c r="E1372" s="2"/>
      <c r="F1372" s="117"/>
      <c r="G1372" s="8"/>
    </row>
    <row r="1373" spans="1:7" s="5" customFormat="1" ht="15" x14ac:dyDescent="0.25">
      <c r="A1373" s="1"/>
      <c r="B1373" s="4"/>
      <c r="C1373" s="1"/>
      <c r="D1373" s="3"/>
      <c r="E1373" s="2"/>
      <c r="F1373" s="117"/>
      <c r="G1373" s="8"/>
    </row>
    <row r="1374" spans="1:7" s="5" customFormat="1" x14ac:dyDescent="0.25">
      <c r="A1374" s="1"/>
      <c r="B1374" s="4"/>
      <c r="C1374" s="1"/>
      <c r="D1374" s="3"/>
      <c r="E1374" s="2"/>
      <c r="F1374" s="117"/>
      <c r="G1374" s="7"/>
    </row>
    <row r="1375" spans="1:7" s="5" customFormat="1" ht="15" x14ac:dyDescent="0.25">
      <c r="A1375" s="1"/>
      <c r="B1375" s="4"/>
      <c r="C1375" s="1"/>
      <c r="D1375" s="3"/>
      <c r="E1375" s="2"/>
      <c r="F1375" s="117"/>
      <c r="G1375" s="8"/>
    </row>
    <row r="1376" spans="1:7" s="5" customFormat="1" ht="15" x14ac:dyDescent="0.25">
      <c r="A1376" s="1"/>
      <c r="B1376" s="4"/>
      <c r="C1376" s="1"/>
      <c r="D1376" s="3"/>
      <c r="E1376" s="2"/>
      <c r="F1376" s="117"/>
      <c r="G1376" s="8"/>
    </row>
    <row r="1381" spans="1:7" s="5" customFormat="1" x14ac:dyDescent="0.25">
      <c r="A1381" s="1"/>
      <c r="B1381" s="4"/>
      <c r="C1381" s="1"/>
      <c r="D1381" s="3"/>
      <c r="E1381" s="2"/>
      <c r="F1381" s="117"/>
      <c r="G1381" s="6"/>
    </row>
    <row r="1382" spans="1:7" s="5" customFormat="1" x14ac:dyDescent="0.25">
      <c r="A1382" s="1"/>
      <c r="B1382" s="4"/>
      <c r="C1382" s="1"/>
      <c r="D1382" s="3"/>
      <c r="E1382" s="2"/>
      <c r="F1382" s="117"/>
      <c r="G1382" s="7"/>
    </row>
    <row r="1383" spans="1:7" s="5" customFormat="1" x14ac:dyDescent="0.25">
      <c r="A1383" s="1"/>
      <c r="B1383" s="4"/>
      <c r="C1383" s="1"/>
      <c r="D1383" s="3"/>
      <c r="E1383" s="2"/>
      <c r="F1383" s="117"/>
      <c r="G1383" s="6"/>
    </row>
    <row r="1406" spans="1:7" s="5" customFormat="1" x14ac:dyDescent="0.25">
      <c r="A1406" s="1"/>
      <c r="B1406" s="4"/>
      <c r="C1406" s="1"/>
      <c r="D1406" s="3"/>
      <c r="E1406" s="2"/>
      <c r="F1406" s="117"/>
      <c r="G1406" s="6"/>
    </row>
    <row r="1407" spans="1:7" s="5" customFormat="1" x14ac:dyDescent="0.25">
      <c r="A1407" s="1"/>
      <c r="B1407" s="4"/>
      <c r="C1407" s="1"/>
      <c r="D1407" s="3"/>
      <c r="E1407" s="2"/>
      <c r="F1407" s="117"/>
      <c r="G1407" s="6"/>
    </row>
    <row r="1408" spans="1:7" s="5" customFormat="1" x14ac:dyDescent="0.25">
      <c r="A1408" s="1"/>
      <c r="B1408" s="4"/>
      <c r="C1408" s="1"/>
      <c r="D1408" s="3"/>
      <c r="E1408" s="2"/>
      <c r="F1408" s="117"/>
      <c r="G1408" s="6"/>
    </row>
    <row r="1409" spans="1:7" s="5" customFormat="1" x14ac:dyDescent="0.25">
      <c r="A1409" s="1"/>
      <c r="B1409" s="4"/>
      <c r="C1409" s="1"/>
      <c r="D1409" s="3"/>
      <c r="E1409" s="2"/>
      <c r="F1409" s="117"/>
      <c r="G1409" s="7"/>
    </row>
    <row r="1410" spans="1:7" s="5" customFormat="1" x14ac:dyDescent="0.25">
      <c r="A1410" s="1"/>
      <c r="B1410" s="4"/>
      <c r="C1410" s="1"/>
      <c r="D1410" s="3"/>
      <c r="E1410" s="2"/>
      <c r="F1410" s="117"/>
      <c r="G1410" s="6"/>
    </row>
    <row r="1411" spans="1:7" s="5" customFormat="1" x14ac:dyDescent="0.25">
      <c r="A1411" s="1"/>
      <c r="B1411" s="4"/>
      <c r="C1411" s="1"/>
      <c r="D1411" s="3"/>
      <c r="E1411" s="2"/>
      <c r="F1411" s="117"/>
      <c r="G1411" s="6"/>
    </row>
    <row r="1412" spans="1:7" s="5" customFormat="1" x14ac:dyDescent="0.25">
      <c r="A1412" s="1"/>
      <c r="B1412" s="4"/>
      <c r="C1412" s="1"/>
      <c r="D1412" s="3"/>
      <c r="E1412" s="2"/>
      <c r="F1412" s="117"/>
      <c r="G1412" s="6"/>
    </row>
    <row r="1413" spans="1:7" s="5" customFormat="1" x14ac:dyDescent="0.25">
      <c r="A1413" s="1"/>
      <c r="B1413" s="4"/>
      <c r="C1413" s="1"/>
      <c r="D1413" s="3"/>
      <c r="E1413" s="2"/>
      <c r="F1413" s="117"/>
      <c r="G1413" s="6"/>
    </row>
    <row r="1414" spans="1:7" s="5" customFormat="1" x14ac:dyDescent="0.25">
      <c r="A1414" s="1"/>
      <c r="B1414" s="4"/>
      <c r="C1414" s="1"/>
      <c r="D1414" s="3"/>
      <c r="E1414" s="2"/>
      <c r="F1414" s="117"/>
      <c r="G1414" s="6"/>
    </row>
    <row r="1415" spans="1:7" s="5" customFormat="1" x14ac:dyDescent="0.25">
      <c r="A1415" s="1"/>
      <c r="B1415" s="4"/>
      <c r="C1415" s="1"/>
      <c r="D1415" s="3"/>
      <c r="E1415" s="2"/>
      <c r="F1415" s="117"/>
      <c r="G1415" s="6"/>
    </row>
  </sheetData>
  <mergeCells count="1">
    <mergeCell ref="B256:E256"/>
  </mergeCells>
  <phoneticPr fontId="12" type="noConversion"/>
  <pageMargins left="0.70866141732283472" right="0.70866141732283472" top="0.74803149606299213" bottom="0.74803149606299213" header="0.31496062992125984" footer="0.31496062992125984"/>
  <pageSetup paperSize="9" scale="97" firstPageNumber="2" orientation="portrait" useFirstPageNumber="1" r:id="rId1"/>
  <headerFooter>
    <oddHeader xml:space="preserve">&amp;L&amp;"Arial,Regular"&amp;9FORT HARE UNIVERSITY
FINANCE OFFICES - HVAC INSTALLATION
</oddHeader>
    <oddFooter xml:space="preserve">&amp;L&amp;"Arial,Regular"&amp;9UNIVERSITY OF FORT HARE FINANCIAL OFFICE - HVAC UPGRADE&amp;R&amp;"Arial,Regular"&amp;9Page 6.&amp;P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C6A7-8243-42EC-BD3A-A150F9D11C5B}">
  <dimension ref="A1:F51"/>
  <sheetViews>
    <sheetView showGridLines="0" view="pageLayout" zoomScaleNormal="100" workbookViewId="0">
      <selection activeCell="G16" sqref="G16"/>
    </sheetView>
  </sheetViews>
  <sheetFormatPr defaultRowHeight="15" x14ac:dyDescent="0.25"/>
  <cols>
    <col min="1" max="1" width="9.140625" customWidth="1"/>
    <col min="2" max="2" width="39.42578125" customWidth="1"/>
    <col min="3" max="3" width="6.5703125" customWidth="1"/>
    <col min="4" max="4" width="5.140625" customWidth="1"/>
    <col min="5" max="6" width="14.5703125" customWidth="1"/>
  </cols>
  <sheetData>
    <row r="1" spans="1:6" x14ac:dyDescent="0.25">
      <c r="A1" s="199" t="s">
        <v>32</v>
      </c>
      <c r="B1" s="199"/>
      <c r="C1" s="199"/>
      <c r="D1" s="199"/>
      <c r="E1" s="199"/>
      <c r="F1" s="199"/>
    </row>
    <row r="2" spans="1:6" x14ac:dyDescent="0.25">
      <c r="A2" s="55"/>
      <c r="B2" s="56"/>
      <c r="C2" s="57"/>
      <c r="D2" s="58"/>
      <c r="E2" s="200"/>
      <c r="F2" s="200"/>
    </row>
    <row r="3" spans="1:6" ht="16.5" customHeight="1" x14ac:dyDescent="0.25">
      <c r="A3" s="120" t="s">
        <v>29</v>
      </c>
      <c r="B3" s="57"/>
      <c r="C3" s="58"/>
      <c r="D3" s="58"/>
      <c r="E3" s="58"/>
      <c r="F3" s="181"/>
    </row>
    <row r="4" spans="1:6" ht="16.5" customHeight="1" x14ac:dyDescent="0.25">
      <c r="A4" s="120"/>
      <c r="B4" s="57"/>
      <c r="C4" s="58"/>
      <c r="D4" s="58"/>
      <c r="E4" s="58"/>
      <c r="F4" s="58"/>
    </row>
    <row r="5" spans="1:6" x14ac:dyDescent="0.25">
      <c r="A5" s="122">
        <v>1</v>
      </c>
      <c r="B5" s="196" t="s">
        <v>18</v>
      </c>
      <c r="C5" s="196"/>
      <c r="D5" s="196"/>
      <c r="E5" s="119"/>
      <c r="F5" s="151">
        <f>Total_Schedule1</f>
        <v>0</v>
      </c>
    </row>
    <row r="6" spans="1:6" x14ac:dyDescent="0.25">
      <c r="A6" s="122">
        <v>2</v>
      </c>
      <c r="B6" s="196" t="s">
        <v>67</v>
      </c>
      <c r="C6" s="196"/>
      <c r="D6" s="196"/>
      <c r="E6" s="119"/>
      <c r="F6" s="151">
        <f>Total_Schedule2</f>
        <v>0</v>
      </c>
    </row>
    <row r="7" spans="1:6" x14ac:dyDescent="0.25">
      <c r="A7" s="122"/>
      <c r="B7" s="196"/>
      <c r="C7" s="196"/>
      <c r="D7" s="196"/>
      <c r="E7" s="119"/>
      <c r="F7" s="151"/>
    </row>
    <row r="8" spans="1:6" x14ac:dyDescent="0.25">
      <c r="A8" s="173"/>
      <c r="B8" s="167"/>
      <c r="C8" s="167"/>
      <c r="D8" s="121"/>
      <c r="E8" s="121"/>
      <c r="F8" s="149"/>
    </row>
    <row r="9" spans="1:6" x14ac:dyDescent="0.25">
      <c r="A9" s="168"/>
      <c r="B9" s="168" t="s">
        <v>33</v>
      </c>
      <c r="C9" s="168"/>
      <c r="D9" s="168"/>
      <c r="E9" s="168"/>
      <c r="F9" s="172">
        <f>SUBTOTAL(9,F5:F7)</f>
        <v>0</v>
      </c>
    </row>
    <row r="10" spans="1:6" x14ac:dyDescent="0.25">
      <c r="A10" s="174"/>
      <c r="B10" s="174" t="s">
        <v>28</v>
      </c>
      <c r="C10" s="174"/>
      <c r="D10" s="174"/>
      <c r="E10" s="174"/>
      <c r="F10" s="175">
        <f>F9*0.05</f>
        <v>0</v>
      </c>
    </row>
    <row r="11" spans="1:6" x14ac:dyDescent="0.25">
      <c r="A11" s="169"/>
      <c r="B11" s="169"/>
      <c r="C11" s="169"/>
      <c r="D11" s="169"/>
      <c r="E11" s="169"/>
      <c r="F11" s="150"/>
    </row>
    <row r="12" spans="1:6" x14ac:dyDescent="0.25">
      <c r="A12" s="176"/>
      <c r="B12" s="176" t="s">
        <v>30</v>
      </c>
      <c r="C12" s="176"/>
      <c r="D12" s="176"/>
      <c r="E12" s="176"/>
      <c r="F12" s="177">
        <f>SUM(F9:F10)</f>
        <v>0</v>
      </c>
    </row>
    <row r="13" spans="1:6" x14ac:dyDescent="0.25">
      <c r="A13" s="171"/>
      <c r="B13" s="171" t="s">
        <v>20</v>
      </c>
      <c r="C13" s="171"/>
      <c r="D13" s="171"/>
      <c r="E13" s="171"/>
      <c r="F13" s="175">
        <f>F12*0.05</f>
        <v>0</v>
      </c>
    </row>
    <row r="14" spans="1:6" x14ac:dyDescent="0.25">
      <c r="A14" s="167"/>
      <c r="B14" s="167"/>
      <c r="C14" s="167"/>
      <c r="D14" s="167"/>
      <c r="E14" s="167"/>
      <c r="F14" s="149"/>
    </row>
    <row r="15" spans="1:6" ht="15.75" thickBot="1" x14ac:dyDescent="0.3">
      <c r="A15" s="168"/>
      <c r="B15" s="168" t="s">
        <v>46</v>
      </c>
      <c r="C15" s="168"/>
      <c r="D15" s="168"/>
      <c r="E15" s="168"/>
      <c r="F15" s="178">
        <f>SUM(F12:F13)</f>
        <v>0</v>
      </c>
    </row>
    <row r="16" spans="1:6" ht="15.75" thickTop="1" x14ac:dyDescent="0.25">
      <c r="A16" s="61"/>
      <c r="B16" s="122"/>
      <c r="C16" s="139"/>
      <c r="D16" s="139"/>
      <c r="E16" s="119"/>
      <c r="F16" s="170"/>
    </row>
    <row r="17" spans="1:6" x14ac:dyDescent="0.25">
      <c r="A17" s="61"/>
      <c r="B17" s="197" t="s">
        <v>19</v>
      </c>
      <c r="C17" s="197"/>
      <c r="D17" s="197"/>
      <c r="E17" s="197"/>
      <c r="F17" s="148"/>
    </row>
    <row r="18" spans="1:6" x14ac:dyDescent="0.25">
      <c r="B18" s="63"/>
      <c r="C18" s="64"/>
      <c r="D18" s="65"/>
      <c r="E18" s="58"/>
      <c r="F18" s="148"/>
    </row>
    <row r="19" spans="1:6" ht="15" customHeight="1" x14ac:dyDescent="0.25">
      <c r="A19" s="123">
        <v>1</v>
      </c>
      <c r="B19" s="198" t="s">
        <v>47</v>
      </c>
      <c r="C19" s="198"/>
      <c r="D19" s="198"/>
      <c r="E19" s="198"/>
      <c r="F19" s="198"/>
    </row>
    <row r="20" spans="1:6" ht="15" customHeight="1" x14ac:dyDescent="0.25">
      <c r="A20" s="123"/>
      <c r="B20" s="198"/>
      <c r="C20" s="198"/>
      <c r="D20" s="198"/>
      <c r="E20" s="198"/>
      <c r="F20" s="198"/>
    </row>
    <row r="21" spans="1:6" ht="15" customHeight="1" x14ac:dyDescent="0.25">
      <c r="A21" s="123"/>
      <c r="B21" s="198"/>
      <c r="C21" s="198"/>
      <c r="D21" s="198"/>
      <c r="E21" s="198"/>
      <c r="F21" s="198"/>
    </row>
    <row r="22" spans="1:6" ht="15" customHeight="1" x14ac:dyDescent="0.25">
      <c r="A22" s="123"/>
      <c r="B22" s="198"/>
      <c r="C22" s="198"/>
      <c r="D22" s="198"/>
      <c r="E22" s="198"/>
      <c r="F22" s="198"/>
    </row>
    <row r="23" spans="1:6" x14ac:dyDescent="0.25">
      <c r="A23" s="123"/>
      <c r="B23" s="198"/>
      <c r="C23" s="198"/>
      <c r="D23" s="198"/>
      <c r="E23" s="198"/>
      <c r="F23" s="198"/>
    </row>
    <row r="24" spans="1:6" ht="15" customHeight="1" x14ac:dyDescent="0.25">
      <c r="A24" s="123">
        <v>2</v>
      </c>
      <c r="B24" s="198" t="s">
        <v>68</v>
      </c>
      <c r="C24" s="198"/>
      <c r="D24" s="198"/>
      <c r="E24" s="198"/>
      <c r="F24" s="198"/>
    </row>
    <row r="25" spans="1:6" ht="15" customHeight="1" x14ac:dyDescent="0.25">
      <c r="A25" s="123"/>
      <c r="B25" s="198"/>
      <c r="C25" s="198"/>
      <c r="D25" s="198"/>
      <c r="E25" s="198"/>
      <c r="F25" s="198"/>
    </row>
    <row r="26" spans="1:6" x14ac:dyDescent="0.25">
      <c r="A26" s="123"/>
      <c r="B26" s="198"/>
      <c r="C26" s="198"/>
      <c r="D26" s="198"/>
      <c r="E26" s="198"/>
      <c r="F26" s="198"/>
    </row>
    <row r="27" spans="1:6" ht="15" customHeight="1" x14ac:dyDescent="0.25">
      <c r="A27" s="123">
        <v>3</v>
      </c>
      <c r="B27" s="198" t="s">
        <v>48</v>
      </c>
      <c r="C27" s="198"/>
      <c r="D27" s="198"/>
      <c r="E27" s="198"/>
      <c r="F27" s="198"/>
    </row>
    <row r="28" spans="1:6" x14ac:dyDescent="0.25">
      <c r="A28" s="59"/>
      <c r="B28" s="198"/>
      <c r="C28" s="198"/>
      <c r="D28" s="198"/>
      <c r="E28" s="198"/>
      <c r="F28" s="198"/>
    </row>
    <row r="29" spans="1:6" x14ac:dyDescent="0.25">
      <c r="A29" s="59"/>
      <c r="B29" s="198"/>
      <c r="C29" s="198"/>
      <c r="D29" s="198"/>
      <c r="E29" s="198"/>
      <c r="F29" s="198"/>
    </row>
    <row r="30" spans="1:6" x14ac:dyDescent="0.25">
      <c r="A30" s="59"/>
      <c r="B30" s="62"/>
    </row>
    <row r="31" spans="1:6" x14ac:dyDescent="0.25">
      <c r="A31" s="59"/>
    </row>
    <row r="32" spans="1:6" x14ac:dyDescent="0.25">
      <c r="A32" s="59"/>
    </row>
    <row r="33" spans="1:6" x14ac:dyDescent="0.25">
      <c r="A33" s="59"/>
    </row>
    <row r="34" spans="1:6" x14ac:dyDescent="0.25">
      <c r="A34" s="59"/>
    </row>
    <row r="35" spans="1:6" x14ac:dyDescent="0.25">
      <c r="A35" s="59"/>
    </row>
    <row r="36" spans="1:6" x14ac:dyDescent="0.25">
      <c r="A36" s="59"/>
      <c r="B36" s="66"/>
      <c r="C36" s="67"/>
      <c r="D36" s="67"/>
      <c r="E36" s="67"/>
      <c r="F36" s="67"/>
    </row>
    <row r="37" spans="1:6" x14ac:dyDescent="0.25">
      <c r="A37" s="59"/>
      <c r="B37" s="66"/>
      <c r="C37" s="67"/>
      <c r="D37" s="67"/>
      <c r="E37" s="67"/>
      <c r="F37" s="67"/>
    </row>
    <row r="38" spans="1:6" x14ac:dyDescent="0.25">
      <c r="A38" s="59"/>
      <c r="B38" s="66"/>
      <c r="C38" s="67"/>
      <c r="D38" s="67"/>
      <c r="E38" s="67"/>
      <c r="F38" s="67"/>
    </row>
    <row r="39" spans="1:6" x14ac:dyDescent="0.25">
      <c r="A39" s="59"/>
      <c r="B39" s="66"/>
      <c r="C39" s="67"/>
      <c r="D39" s="67"/>
      <c r="E39" s="67"/>
      <c r="F39" s="67"/>
    </row>
    <row r="40" spans="1:6" x14ac:dyDescent="0.25">
      <c r="A40" s="59"/>
      <c r="B40" s="66"/>
      <c r="C40" s="67"/>
      <c r="D40" s="67"/>
      <c r="E40" s="67"/>
      <c r="F40" s="67"/>
    </row>
    <row r="41" spans="1:6" x14ac:dyDescent="0.25">
      <c r="A41" s="59"/>
      <c r="B41" s="66"/>
      <c r="C41" s="67"/>
      <c r="D41" s="67"/>
      <c r="E41" s="67"/>
      <c r="F41" s="67"/>
    </row>
    <row r="42" spans="1:6" x14ac:dyDescent="0.25">
      <c r="A42" s="59"/>
      <c r="B42" s="60"/>
      <c r="C42" s="67"/>
      <c r="D42" s="67"/>
      <c r="E42" s="67"/>
      <c r="F42" s="67"/>
    </row>
    <row r="43" spans="1:6" x14ac:dyDescent="0.25">
      <c r="A43" s="69"/>
      <c r="B43" s="69"/>
      <c r="C43" s="70"/>
      <c r="D43" s="5"/>
      <c r="E43" s="5"/>
      <c r="F43" s="5"/>
    </row>
    <row r="44" spans="1:6" x14ac:dyDescent="0.25">
      <c r="A44" s="71" t="s">
        <v>69</v>
      </c>
      <c r="C44" s="72"/>
      <c r="D44" s="5"/>
      <c r="E44" s="5"/>
      <c r="F44" s="5"/>
    </row>
    <row r="45" spans="1:6" x14ac:dyDescent="0.25">
      <c r="A45" s="71"/>
      <c r="C45" s="72"/>
      <c r="D45" s="5"/>
      <c r="E45" s="5"/>
      <c r="F45" s="5"/>
    </row>
    <row r="46" spans="1:6" x14ac:dyDescent="0.25">
      <c r="A46" s="71"/>
      <c r="C46" s="72"/>
      <c r="D46" s="5"/>
      <c r="E46" s="5"/>
      <c r="F46" s="5"/>
    </row>
    <row r="47" spans="1:6" x14ac:dyDescent="0.25">
      <c r="A47" s="69"/>
      <c r="B47" s="70"/>
      <c r="C47" s="70"/>
      <c r="D47" s="5"/>
      <c r="E47" s="73"/>
      <c r="F47" s="73" t="s">
        <v>17</v>
      </c>
    </row>
    <row r="48" spans="1:6" x14ac:dyDescent="0.25">
      <c r="A48" s="71" t="s">
        <v>70</v>
      </c>
      <c r="C48" s="72"/>
      <c r="D48" s="5"/>
      <c r="E48" s="14" t="s">
        <v>60</v>
      </c>
      <c r="F48" s="58"/>
    </row>
    <row r="49" spans="1:6" x14ac:dyDescent="0.25">
      <c r="A49" s="68"/>
      <c r="B49" s="71"/>
      <c r="C49" s="72"/>
      <c r="D49" s="5"/>
      <c r="E49" s="14"/>
      <c r="F49" s="58"/>
    </row>
    <row r="50" spans="1:6" x14ac:dyDescent="0.25">
      <c r="A50" s="59"/>
      <c r="B50" s="60"/>
      <c r="C50" s="67"/>
      <c r="D50" s="67"/>
      <c r="E50" s="67"/>
      <c r="F50" s="67"/>
    </row>
    <row r="51" spans="1:6" x14ac:dyDescent="0.25">
      <c r="A51" s="68"/>
      <c r="B51" s="71"/>
      <c r="C51" s="72"/>
      <c r="D51" s="5"/>
      <c r="E51" s="14"/>
      <c r="F51" s="58"/>
    </row>
  </sheetData>
  <mergeCells count="11">
    <mergeCell ref="B26:F26"/>
    <mergeCell ref="B19:F22"/>
    <mergeCell ref="B24:F25"/>
    <mergeCell ref="B27:F29"/>
    <mergeCell ref="A1:F1"/>
    <mergeCell ref="E2:F2"/>
    <mergeCell ref="B5:D5"/>
    <mergeCell ref="B6:D6"/>
    <mergeCell ref="B7:D7"/>
    <mergeCell ref="B17:E17"/>
    <mergeCell ref="B23:F23"/>
  </mergeCells>
  <pageMargins left="0.70866141732283472" right="0.70866141732283472" top="0.74803149606299213" bottom="0.74803149606299213" header="0.31496062992125984" footer="0.31496062992125984"/>
  <pageSetup paperSize="9" scale="97" firstPageNumber="7" orientation="portrait" useFirstPageNumber="1" r:id="rId1"/>
  <headerFooter>
    <oddHeader xml:space="preserve">&amp;L&amp;"Arial,Regular"&amp;9FORT HARE UNIVERSITY
FINANCE OFFICES - HVAC INSTALLATION
</oddHeader>
    <oddFooter xml:space="preserve">&amp;L&amp;"Arial,Regular"&amp;9UNIVERSITY OF FORT HARE FINANCIAL OFFICE - HVAC UPGRADE&amp;R&amp;"Arial,Regular"&amp;9Page 6.&amp;P </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01 P&amp;G</vt:lpstr>
      <vt:lpstr>02 Equip &amp; Material</vt:lpstr>
      <vt:lpstr>Summary</vt:lpstr>
      <vt:lpstr>'01 P&amp;G'!Print_Area</vt:lpstr>
      <vt:lpstr>'02 Equip &amp; Material'!Print_Area</vt:lpstr>
      <vt:lpstr>'02 Equip &amp; Material'!Print_Titles</vt:lpstr>
      <vt:lpstr>Schedule2</vt:lpstr>
      <vt:lpstr>Summary_SubTotal</vt:lpstr>
      <vt:lpstr>Total_Schedule1</vt:lpstr>
      <vt:lpstr>Total_Schedule2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Brown</dc:creator>
  <cp:lastModifiedBy>Ashraf Brown</cp:lastModifiedBy>
  <cp:lastPrinted>2025-12-12T09:10:16Z</cp:lastPrinted>
  <dcterms:created xsi:type="dcterms:W3CDTF">2018-05-02T09:07:08Z</dcterms:created>
  <dcterms:modified xsi:type="dcterms:W3CDTF">2025-12-12T09:10:35Z</dcterms:modified>
</cp:coreProperties>
</file>