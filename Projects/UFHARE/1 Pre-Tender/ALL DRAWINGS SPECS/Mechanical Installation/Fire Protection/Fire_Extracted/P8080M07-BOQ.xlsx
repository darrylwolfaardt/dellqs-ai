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hrafb\NC\CADT\CAdT\Projects Active\P8080 - Fort Hare University Finance offices (SVA)\M07\Specification\"/>
    </mc:Choice>
  </mc:AlternateContent>
  <xr:revisionPtr revIDLastSave="0" documentId="13_ncr:1_{DF10327B-1CA0-4140-839E-2C88449A0C20}" xr6:coauthVersionLast="47" xr6:coauthVersionMax="47" xr10:uidLastSave="{00000000-0000-0000-0000-000000000000}"/>
  <bookViews>
    <workbookView xWindow="-120" yWindow="-120" windowWidth="29040" windowHeight="15720" tabRatio="721" activeTab="1" xr2:uid="{F52CB30C-D91C-4B41-9735-D3D055973376}"/>
  </bookViews>
  <sheets>
    <sheet name="01 P&amp;G" sheetId="7" r:id="rId1"/>
    <sheet name="02 Equip &amp; Material" sheetId="2" r:id="rId2"/>
    <sheet name="Summary" sheetId="1" r:id="rId3"/>
  </sheets>
  <definedNames>
    <definedName name="hgf" localSheetId="1">#REF!</definedName>
    <definedName name="hgf">#REF!</definedName>
    <definedName name="koos">#REF!</definedName>
    <definedName name="Print" localSheetId="1">#REF!</definedName>
    <definedName name="Print">#REF!</definedName>
    <definedName name="_xlnm.Print_Area" localSheetId="0">'01 P&amp;G'!$A$1:$F$34</definedName>
    <definedName name="_xlnm.Print_Area" localSheetId="1">'02 Equip &amp; Material'!$A$1:$F$92</definedName>
    <definedName name="Print_Area_MI" localSheetId="1">#REF!</definedName>
    <definedName name="Print_Area_MI">#REF!</definedName>
    <definedName name="_xlnm.Print_Titles" localSheetId="1">'02 Equip &amp; Material'!$3:$3</definedName>
    <definedName name="Schedule2">'02 Equip &amp; Material'!$F$91</definedName>
    <definedName name="Summary_SubTotal">Summary!$F$9</definedName>
    <definedName name="Total_Schedule1">'01 P&amp;G'!$F$33</definedName>
    <definedName name="Total_Schedule2">'02 Equip &amp; Material'!$F$91</definedName>
    <definedName name="Total_Schedule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2" l="1"/>
  <c r="F31" i="2"/>
  <c r="A8" i="2"/>
  <c r="A7" i="2"/>
  <c r="F55" i="2"/>
  <c r="F52" i="2"/>
  <c r="F49" i="2"/>
  <c r="F48" i="2"/>
  <c r="F47" i="2"/>
  <c r="F30" i="2"/>
  <c r="F27" i="2"/>
  <c r="F24" i="2"/>
  <c r="F23" i="2"/>
  <c r="F22" i="2"/>
  <c r="F17" i="2"/>
  <c r="F16" i="2"/>
  <c r="A10" i="2"/>
  <c r="F5" i="1"/>
  <c r="F11" i="2"/>
  <c r="A12" i="2" l="1"/>
  <c r="F41" i="2"/>
  <c r="F42" i="2" s="1"/>
  <c r="A14" i="2"/>
  <c r="A19" i="2" l="1"/>
  <c r="A16" i="2"/>
  <c r="A17" i="2"/>
  <c r="A44" i="2" l="1"/>
  <c r="A52" i="2" s="1"/>
  <c r="A35" i="2"/>
  <c r="A31" i="2"/>
  <c r="A55" i="2"/>
  <c r="A24" i="2"/>
  <c r="A23" i="2"/>
  <c r="A27" i="2"/>
  <c r="A30" i="2"/>
  <c r="A22" i="2"/>
  <c r="A48" i="2" l="1"/>
  <c r="A49" i="2"/>
  <c r="A47" i="2"/>
  <c r="A29" i="7"/>
  <c r="A27" i="7"/>
  <c r="A25" i="7"/>
  <c r="A23" i="7"/>
  <c r="A21" i="7"/>
  <c r="A19" i="7"/>
  <c r="A17" i="7"/>
  <c r="A15" i="7"/>
  <c r="A13" i="7"/>
  <c r="A11" i="7"/>
  <c r="A9" i="7"/>
  <c r="A7" i="7"/>
  <c r="F17" i="7" l="1"/>
  <c r="F29" i="7" l="1"/>
  <c r="F23" i="7"/>
  <c r="F27" i="7" l="1"/>
  <c r="F25" i="7"/>
  <c r="F21" i="7"/>
  <c r="F19" i="7"/>
  <c r="F15" i="7"/>
  <c r="F13" i="7"/>
  <c r="F11" i="7"/>
  <c r="F9" i="7"/>
  <c r="F7" i="7"/>
  <c r="F33" i="7" l="1"/>
  <c r="F91" i="2" l="1"/>
  <c r="F6" i="1" s="1"/>
  <c r="F9" i="1" s="1"/>
  <c r="F10" i="1" s="1"/>
  <c r="F12" i="1" s="1"/>
  <c r="F13" i="1" l="1"/>
  <c r="F15" i="1" s="1"/>
</calcChain>
</file>

<file path=xl/sharedStrings.xml><?xml version="1.0" encoding="utf-8"?>
<sst xmlns="http://schemas.openxmlformats.org/spreadsheetml/2006/main" count="116" uniqueCount="79">
  <si>
    <t>m</t>
  </si>
  <si>
    <t>Item</t>
  </si>
  <si>
    <t>Description</t>
  </si>
  <si>
    <t>Unit</t>
  </si>
  <si>
    <t>Qty</t>
  </si>
  <si>
    <t>Rate</t>
  </si>
  <si>
    <t>Amount</t>
  </si>
  <si>
    <t xml:space="preserve"> </t>
  </si>
  <si>
    <t>Subtotal Bill No: 1 - Preliminary and General</t>
  </si>
  <si>
    <t>NOTES TO BE READ IN CONJUNCTION WITH THE TENDER PRICE.</t>
  </si>
  <si>
    <t>15 % VAT</t>
  </si>
  <si>
    <t>Sum</t>
  </si>
  <si>
    <t>Any other P&amp;G items: Contractor to specifiy</t>
  </si>
  <si>
    <t>Carried forward</t>
  </si>
  <si>
    <t>Brought forward</t>
  </si>
  <si>
    <t>Add : 5% Contingency</t>
  </si>
  <si>
    <t>Schedule:</t>
  </si>
  <si>
    <t>Sub-Total</t>
  </si>
  <si>
    <t>FINAL SUMMARY - MECHANICAL HVAC INSTALLATION</t>
  </si>
  <si>
    <t xml:space="preserve">Sub-Total: </t>
  </si>
  <si>
    <t>Liaison with other Contractors and Service providers (ie., Electrician, Medical Gas, Plumber, etc.) for final co-ordination between services with site management to ensure timeous and correct installation.</t>
  </si>
  <si>
    <t>Construction Guarantee</t>
  </si>
  <si>
    <t>Insurances</t>
  </si>
  <si>
    <t>Liaison with Main Contractor on programming and execution of works.</t>
  </si>
  <si>
    <t>Nett price to comply with all the requirements of the Health &amp; Safety specification, ie Health and Safety file, Medicals, PPE for the duration of the contract.</t>
  </si>
  <si>
    <t>Compilation of detail Operating and Maintenance Manuals, as-built drawings and documentation as specified and to the satisfaction of the Engineer.  3-off printed copies and 1x electronic version.</t>
  </si>
  <si>
    <t>12 months guarantee from date of Practical Completion Certificate.</t>
  </si>
  <si>
    <t xml:space="preserve">Training of the Employers staff. </t>
  </si>
  <si>
    <t>12 months full maintenance and service of the installation in accordance with manufacturer's and suppliers specifications.</t>
  </si>
  <si>
    <t>SCHEDULE 1: PRELIMINARY AND GENERAL ITEMS</t>
  </si>
  <si>
    <t>Contract Management and Site Supervision</t>
  </si>
  <si>
    <t xml:space="preserve">    TOTAL SCHEDULE 1 : CARRIED FORWARD TO FINAL SUMMARY</t>
  </si>
  <si>
    <t>TOTAL TENDER PRICE</t>
  </si>
  <si>
    <t>The amount given as the "Total Tender Price" and carried forward to Part C1.1 Form of Offer and Acceptance will be regarded as including the Provisional  and Contingency amounts shown in the various schedules and no adjustments will be made for any failure by Tenderer's to include for any pricing items,  sums or amounts in the total appearing on the official offer.</t>
  </si>
  <si>
    <t>All Material offered should, wherever possible, be of South African manufacture with strong local (Port Elizabeth) after-sales service and backup. In the final adjudication of Tenders, preference will be given to bids offering such equipment and materials.</t>
  </si>
  <si>
    <t>TOTAL FOR SCHEDULE NO. 2 :CARRIED FORWARD TO FINAL SUMMARY</t>
  </si>
  <si>
    <t>Tee</t>
  </si>
  <si>
    <t>Date</t>
  </si>
  <si>
    <t>SCHEDULE 2: HVAC EQUIPMENT INSTALLATION</t>
  </si>
  <si>
    <t>Preliminary and General Items</t>
  </si>
  <si>
    <t>Compliance with the conditions of contract, contract data, preliminaries and general and all administrative costs and overheads.</t>
  </si>
  <si>
    <t>Subtotal Bill No: 2 - HVAC Equipment and Materials</t>
  </si>
  <si>
    <t>The entire mechanical installation in this contract shall be completed prior to completion and acceptance.</t>
  </si>
  <si>
    <t>Name of Mechanical Contractor</t>
  </si>
  <si>
    <t>Signature of Authorised Representative of  Mechanical Contractor</t>
  </si>
  <si>
    <t>No.</t>
  </si>
  <si>
    <t>Supply</t>
  </si>
  <si>
    <t>Install</t>
  </si>
  <si>
    <t>Fire Hose Reel</t>
  </si>
  <si>
    <t>Fire hose reels in accordance with SANS 543 and install in accordance with SANS 10105-2 and SANS 10400-W, complete with stop cock, Pressure gauge and gauge cock.</t>
  </si>
  <si>
    <t>Fire Extinguishers</t>
  </si>
  <si>
    <t>Supply and install fire extinguishers in accordance with SANS 1910 complete with timber backing board, primed and painted with red gloss enamel finished coat.</t>
  </si>
  <si>
    <t>4,5kg Dry Chemical Powder type</t>
  </si>
  <si>
    <t>Signage</t>
  </si>
  <si>
    <t>Supply and install fire and directional signage in accordance with SANS 1186. Signs shall be wall mounted unsing corrosion resistant fixing</t>
  </si>
  <si>
    <t>Directional signs, 380x190, photoluminescent, single sided, framed</t>
  </si>
  <si>
    <t>EXIT</t>
  </si>
  <si>
    <t>Running Man/Down Arrow</t>
  </si>
  <si>
    <t>Running Man/Left Arrow</t>
  </si>
  <si>
    <t>Fire signs, 380x190, photoluminescent, single sided, framed</t>
  </si>
  <si>
    <t>Fire Hose reel/Extinguisher</t>
  </si>
  <si>
    <t>Pipework</t>
  </si>
  <si>
    <t>25mm Nominal Size</t>
  </si>
  <si>
    <t>32mm Nominal Size</t>
  </si>
  <si>
    <t>Pipe fittings</t>
  </si>
  <si>
    <t>Supply and install Galvanised steel piping to SANS 62-2 for supply to fire hose reels</t>
  </si>
  <si>
    <t>90° Elbow</t>
  </si>
  <si>
    <t>25 x 25</t>
  </si>
  <si>
    <t>32 x 32</t>
  </si>
  <si>
    <t>25 x 25 x 15</t>
  </si>
  <si>
    <t>Union</t>
  </si>
  <si>
    <t>25mm</t>
  </si>
  <si>
    <t>Connection to mains</t>
  </si>
  <si>
    <t xml:space="preserve">Complete with stainless steel 3-piece ball valve. </t>
  </si>
  <si>
    <t>32mm</t>
  </si>
  <si>
    <t>Fire Hose reel/Extinguisher/Left Arrow</t>
  </si>
  <si>
    <t>Fire signs, 570x190, photoluminescent, double sided, framed</t>
  </si>
  <si>
    <t>32 x 25</t>
  </si>
  <si>
    <t>Supply and install Galvanised steel piping to SANS 62-1 for supply to fire hose reels. Complete with degreasing, priming and painting, finished in 2-coats of red gloss enamel.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</si>
</sst>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R&quot;* #,##0.00_-;\-&quot;R&quot;* #,##0.00_-;_-&quot;R&quot;* &quot;-&quot;??_-;_-@_-"/>
    <numFmt numFmtId="164" formatCode="_ &quot;R&quot;\ * #,##0.00_ ;_ &quot;R&quot;\ * \-#,##0.00_ ;_ &quot;R&quot;\ * &quot;-&quot;??_ ;_ @_ "/>
    <numFmt numFmtId="165" formatCode="_ * #,##0.00_ ;_ * \-#,##0.00_ ;_ * &quot;-&quot;??_ ;_ @_ "/>
    <numFmt numFmtId="166" formatCode="_-* #,##0.000_-;\-* #,##0.000_-;_-* &quot;-&quot;??_-;_-@_-"/>
    <numFmt numFmtId="167" formatCode="_ &quot;R&quot;\ * #,##0.00_ ;_ &quot;R&quot;\ * \-#,##0.00_ ;_ &quot;R&quot;\ * &quot; &quot;??_ ;_ @_ "/>
    <numFmt numFmtId="168" formatCode="0.00_)"/>
    <numFmt numFmtId="169" formatCode="0.0"/>
    <numFmt numFmtId="170" formatCode="_-&quot;R&quot;* #,##0.00_-;\-&quot;R&quot;* #,##0.00_-;_-&quot;R&quot;* &quot;&quot;??_-;_-@_-"/>
    <numFmt numFmtId="171" formatCode="&quot;6.&quot;0"/>
  </numFmts>
  <fonts count="12" x14ac:knownFonts="1">
    <font>
      <sz val="11"/>
      <color theme="1"/>
      <name val="Calibri"/>
      <family val="2"/>
      <scheme val="minor"/>
    </font>
    <font>
      <sz val="11"/>
      <color theme="1"/>
      <name val="Calibri"/>
      <family val="2"/>
      <scheme val="minor"/>
    </font>
    <font>
      <sz val="10"/>
      <name val="Arial"/>
      <family val="2"/>
    </font>
    <font>
      <sz val="11"/>
      <name val="Arial"/>
      <family val="2"/>
    </font>
    <font>
      <b/>
      <sz val="11"/>
      <name val="Arial"/>
      <family val="2"/>
    </font>
    <font>
      <b/>
      <sz val="10"/>
      <name val="Arial"/>
      <family val="2"/>
    </font>
    <font>
      <u/>
      <sz val="10"/>
      <name val="Arial"/>
      <family val="2"/>
    </font>
    <font>
      <sz val="6"/>
      <name val="Arial"/>
      <family val="2"/>
    </font>
    <font>
      <sz val="10"/>
      <name val="Courier"/>
      <family val="3"/>
    </font>
    <font>
      <sz val="8"/>
      <name val="Calibri"/>
      <family val="2"/>
      <scheme val="minor"/>
    </font>
    <font>
      <b/>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indexed="9"/>
        <bgColor indexed="64"/>
      </patternFill>
    </fill>
  </fills>
  <borders count="28">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double">
        <color indexed="64"/>
      </top>
      <bottom/>
      <diagonal/>
    </border>
    <border>
      <left/>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7">
    <xf numFmtId="0" fontId="0" fillId="0" borderId="0"/>
    <xf numFmtId="0" fontId="2" fillId="0" borderId="0"/>
    <xf numFmtId="3" fontId="2" fillId="0" borderId="0" applyFont="0" applyFill="0" applyBorder="0" applyAlignment="0" applyProtection="0"/>
    <xf numFmtId="0" fontId="2" fillId="0" borderId="0"/>
    <xf numFmtId="164" fontId="2" fillId="0" borderId="0" applyFont="0" applyFill="0" applyBorder="0" applyAlignment="0" applyProtection="0"/>
    <xf numFmtId="168" fontId="8" fillId="0" borderId="0"/>
    <xf numFmtId="44" fontId="1" fillId="0" borderId="0" applyFont="0" applyFill="0" applyBorder="0" applyAlignment="0" applyProtection="0"/>
  </cellStyleXfs>
  <cellXfs count="162">
    <xf numFmtId="0" fontId="0" fillId="0" borderId="0" xfId="0"/>
    <xf numFmtId="0" fontId="2" fillId="0" borderId="0" xfId="1" applyAlignment="1">
      <alignment vertical="top"/>
    </xf>
    <xf numFmtId="164" fontId="2" fillId="0" borderId="0" xfId="1" applyNumberFormat="1" applyAlignment="1">
      <alignment vertical="top"/>
    </xf>
    <xf numFmtId="0" fontId="2" fillId="0" borderId="0" xfId="1" applyAlignment="1">
      <alignment horizontal="center" vertical="top"/>
    </xf>
    <xf numFmtId="0" fontId="2" fillId="0" borderId="0" xfId="1" applyAlignment="1">
      <alignment vertical="top" wrapText="1"/>
    </xf>
    <xf numFmtId="0" fontId="2" fillId="0" borderId="0" xfId="0" applyFont="1" applyAlignment="1">
      <alignment vertical="top"/>
    </xf>
    <xf numFmtId="4" fontId="3" fillId="0" borderId="0" xfId="2" applyNumberFormat="1" applyFont="1" applyBorder="1" applyAlignment="1">
      <alignment vertical="top"/>
    </xf>
    <xf numFmtId="164" fontId="3" fillId="0" borderId="0" xfId="2" applyNumberFormat="1" applyFont="1" applyBorder="1" applyAlignment="1">
      <alignment vertical="top"/>
    </xf>
    <xf numFmtId="4" fontId="4" fillId="0" borderId="0" xfId="2" applyNumberFormat="1" applyFont="1" applyBorder="1" applyAlignment="1">
      <alignment vertical="top"/>
    </xf>
    <xf numFmtId="4" fontId="2" fillId="0" borderId="0" xfId="0" applyNumberFormat="1" applyFont="1" applyAlignment="1">
      <alignment vertical="top"/>
    </xf>
    <xf numFmtId="165" fontId="2" fillId="0" borderId="0" xfId="0" applyNumberFormat="1" applyFont="1" applyAlignment="1">
      <alignment vertical="top"/>
    </xf>
    <xf numFmtId="166" fontId="2" fillId="0" borderId="0" xfId="0" applyNumberFormat="1" applyFont="1" applyAlignment="1">
      <alignment vertical="top"/>
    </xf>
    <xf numFmtId="166" fontId="3" fillId="0" borderId="0" xfId="2" applyNumberFormat="1" applyFont="1" applyBorder="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2" xfId="1" applyBorder="1" applyAlignment="1">
      <alignment horizontal="center" vertical="top"/>
    </xf>
    <xf numFmtId="0" fontId="2" fillId="0" borderId="2" xfId="0" applyFont="1" applyBorder="1" applyAlignment="1">
      <alignment horizontal="center" vertical="top"/>
    </xf>
    <xf numFmtId="0" fontId="2" fillId="0" borderId="2" xfId="3" applyBorder="1" applyAlignment="1">
      <alignment horizontal="center" vertical="top" wrapText="1"/>
    </xf>
    <xf numFmtId="164" fontId="2" fillId="0" borderId="2" xfId="3" quotePrefix="1" applyNumberFormat="1" applyBorder="1" applyAlignment="1">
      <alignment horizontal="center" vertical="top" wrapText="1"/>
    </xf>
    <xf numFmtId="0" fontId="2" fillId="0" borderId="1" xfId="0" applyFont="1" applyBorder="1" applyAlignment="1">
      <alignment horizontal="left" vertical="top"/>
    </xf>
    <xf numFmtId="0" fontId="5" fillId="0" borderId="0" xfId="0" applyFont="1" applyAlignment="1">
      <alignment horizontal="left" vertical="top"/>
    </xf>
    <xf numFmtId="0" fontId="2" fillId="0" borderId="2" xfId="3" applyBorder="1" applyAlignment="1">
      <alignment horizontal="left" vertical="top" wrapText="1"/>
    </xf>
    <xf numFmtId="0" fontId="2" fillId="0" borderId="3" xfId="3" applyBorder="1" applyAlignment="1">
      <alignment horizontal="left" vertical="top" wrapText="1"/>
    </xf>
    <xf numFmtId="0" fontId="2" fillId="0" borderId="2" xfId="1" applyBorder="1" applyAlignment="1">
      <alignment horizontal="left" vertical="top" wrapText="1"/>
    </xf>
    <xf numFmtId="0" fontId="2" fillId="0" borderId="0" xfId="1" applyAlignment="1">
      <alignment horizontal="center" vertical="center"/>
    </xf>
    <xf numFmtId="0" fontId="2" fillId="0" borderId="0" xfId="1" applyAlignment="1">
      <alignment horizontal="left"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left" vertical="center" wrapText="1"/>
    </xf>
    <xf numFmtId="0" fontId="5" fillId="2" borderId="7" xfId="1" applyFont="1" applyFill="1" applyBorder="1" applyAlignment="1">
      <alignment horizontal="center" vertical="center"/>
    </xf>
    <xf numFmtId="0" fontId="5" fillId="0" borderId="9" xfId="1" applyFont="1" applyBorder="1" applyAlignment="1">
      <alignment horizontal="center" vertical="center"/>
    </xf>
    <xf numFmtId="0" fontId="5" fillId="0" borderId="2" xfId="1" applyFont="1" applyBorder="1" applyAlignment="1">
      <alignment horizontal="left" vertical="center" wrapText="1"/>
    </xf>
    <xf numFmtId="0" fontId="5" fillId="0" borderId="2" xfId="1" applyFont="1" applyBorder="1" applyAlignment="1">
      <alignment horizontal="center" vertical="center"/>
    </xf>
    <xf numFmtId="0" fontId="2" fillId="0" borderId="9" xfId="1" applyBorder="1" applyAlignment="1">
      <alignment horizontal="center" vertical="top"/>
    </xf>
    <xf numFmtId="0" fontId="5" fillId="0" borderId="2" xfId="1" applyFont="1" applyBorder="1" applyAlignment="1">
      <alignment horizontal="left" vertical="top" wrapText="1"/>
    </xf>
    <xf numFmtId="0" fontId="2" fillId="0" borderId="9" xfId="1" applyBorder="1" applyAlignment="1">
      <alignment horizontal="right" vertical="top"/>
    </xf>
    <xf numFmtId="0" fontId="2" fillId="0" borderId="12" xfId="1" applyBorder="1" applyAlignment="1">
      <alignment vertical="top"/>
    </xf>
    <xf numFmtId="0" fontId="2" fillId="0" borderId="9" xfId="1" applyBorder="1" applyAlignment="1">
      <alignment vertical="top"/>
    </xf>
    <xf numFmtId="0" fontId="2" fillId="0" borderId="11" xfId="1" applyBorder="1" applyAlignment="1">
      <alignment horizontal="fill" vertical="top"/>
    </xf>
    <xf numFmtId="168" fontId="7" fillId="0" borderId="0" xfId="5" applyFont="1"/>
    <xf numFmtId="169" fontId="2" fillId="0" borderId="0" xfId="5" applyNumberFormat="1" applyFont="1" applyAlignment="1">
      <alignment vertical="top"/>
    </xf>
    <xf numFmtId="168" fontId="2" fillId="0" borderId="0" xfId="5" applyFont="1" applyAlignment="1">
      <alignment vertical="top" wrapText="1"/>
    </xf>
    <xf numFmtId="168" fontId="2" fillId="0" borderId="0" xfId="5" applyFont="1" applyAlignment="1">
      <alignment vertical="top"/>
    </xf>
    <xf numFmtId="168" fontId="2" fillId="0" borderId="0" xfId="5" applyFont="1"/>
    <xf numFmtId="169" fontId="2" fillId="0" borderId="0" xfId="5" applyNumberFormat="1" applyFont="1" applyAlignment="1">
      <alignment horizontal="center" vertical="top"/>
    </xf>
    <xf numFmtId="168" fontId="2" fillId="0" borderId="0" xfId="5" applyFont="1" applyAlignment="1">
      <alignment vertical="center"/>
    </xf>
    <xf numFmtId="169" fontId="2" fillId="0" borderId="0" xfId="5" quotePrefix="1" applyNumberFormat="1" applyFont="1" applyAlignment="1">
      <alignment horizontal="left" vertical="top"/>
    </xf>
    <xf numFmtId="168" fontId="2" fillId="0" borderId="0" xfId="5" quotePrefix="1" applyFont="1" applyAlignment="1">
      <alignment horizontal="fill" vertical="top" wrapText="1"/>
    </xf>
    <xf numFmtId="168" fontId="2" fillId="0" borderId="0" xfId="5" applyFont="1" applyAlignment="1">
      <alignment horizontal="fill" vertical="top"/>
    </xf>
    <xf numFmtId="168" fontId="2" fillId="0" borderId="0" xfId="5" applyFont="1" applyAlignment="1">
      <alignment horizontal="left" vertical="top"/>
    </xf>
    <xf numFmtId="169" fontId="2" fillId="0" borderId="0" xfId="5" applyNumberFormat="1" applyFont="1" applyAlignment="1">
      <alignment horizontal="left" vertical="top"/>
    </xf>
    <xf numFmtId="168" fontId="2" fillId="0" borderId="0" xfId="5" applyFont="1" applyAlignment="1">
      <alignment horizontal="left" vertical="top" wrapText="1"/>
    </xf>
    <xf numFmtId="0" fontId="2" fillId="0" borderId="0" xfId="0" applyFont="1"/>
    <xf numFmtId="169" fontId="2" fillId="0" borderId="1" xfId="0" applyNumberFormat="1" applyFont="1" applyBorder="1" applyAlignment="1">
      <alignment vertical="top"/>
    </xf>
    <xf numFmtId="0" fontId="2" fillId="0" borderId="1" xfId="0" applyFont="1" applyBorder="1" applyAlignment="1">
      <alignment vertical="top" wrapText="1"/>
    </xf>
    <xf numFmtId="169" fontId="2" fillId="0" borderId="0" xfId="0" applyNumberFormat="1" applyFont="1" applyAlignment="1">
      <alignment vertical="top"/>
    </xf>
    <xf numFmtId="0" fontId="2" fillId="0" borderId="0" xfId="0" applyFont="1" applyAlignment="1">
      <alignment vertical="top" wrapText="1"/>
    </xf>
    <xf numFmtId="0" fontId="2" fillId="0" borderId="1" xfId="0" applyFont="1" applyBorder="1" applyAlignment="1">
      <alignment vertical="top"/>
    </xf>
    <xf numFmtId="167" fontId="5" fillId="0" borderId="2" xfId="1" applyNumberFormat="1" applyFont="1" applyBorder="1" applyAlignment="1">
      <alignment horizontal="center" vertical="center"/>
    </xf>
    <xf numFmtId="0" fontId="5" fillId="0" borderId="9" xfId="1" applyFont="1" applyBorder="1" applyAlignment="1">
      <alignment horizontal="center" vertical="top"/>
    </xf>
    <xf numFmtId="167" fontId="2" fillId="0" borderId="2" xfId="1" applyNumberFormat="1" applyBorder="1" applyAlignment="1">
      <alignment vertical="top"/>
    </xf>
    <xf numFmtId="167" fontId="2" fillId="0" borderId="10" xfId="1" applyNumberFormat="1" applyBorder="1" applyAlignment="1">
      <alignment vertical="top"/>
    </xf>
    <xf numFmtId="0" fontId="2" fillId="0" borderId="2" xfId="0" applyFont="1" applyBorder="1" applyAlignment="1">
      <alignment horizontal="left" vertical="top" wrapText="1"/>
    </xf>
    <xf numFmtId="167" fontId="2" fillId="0" borderId="13" xfId="1" applyNumberFormat="1" applyBorder="1" applyAlignment="1">
      <alignment vertical="top"/>
    </xf>
    <xf numFmtId="167" fontId="2" fillId="0" borderId="8" xfId="1" applyNumberFormat="1" applyBorder="1" applyAlignment="1">
      <alignment horizontal="center" vertical="top"/>
    </xf>
    <xf numFmtId="0" fontId="5" fillId="0" borderId="9" xfId="1" quotePrefix="1" applyFont="1" applyBorder="1" applyAlignment="1">
      <alignment horizontal="center" vertical="top"/>
    </xf>
    <xf numFmtId="167" fontId="5" fillId="0" borderId="10" xfId="1" applyNumberFormat="1" applyFont="1" applyBorder="1" applyAlignment="1">
      <alignment vertical="center"/>
    </xf>
    <xf numFmtId="167" fontId="5" fillId="2" borderId="7" xfId="1" applyNumberFormat="1" applyFont="1" applyFill="1" applyBorder="1" applyAlignment="1">
      <alignment horizontal="center" vertical="center"/>
    </xf>
    <xf numFmtId="0" fontId="2" fillId="0" borderId="21" xfId="3" applyBorder="1" applyAlignment="1">
      <alignment horizontal="center" vertical="top" wrapText="1"/>
    </xf>
    <xf numFmtId="164" fontId="2" fillId="0" borderId="21" xfId="3" quotePrefix="1" applyNumberFormat="1" applyBorder="1" applyAlignment="1">
      <alignment horizontal="center" vertical="top" wrapText="1"/>
    </xf>
    <xf numFmtId="167" fontId="2" fillId="0" borderId="13" xfId="1" applyNumberFormat="1" applyBorder="1" applyAlignment="1">
      <alignment horizontal="right" vertical="center"/>
    </xf>
    <xf numFmtId="0" fontId="5" fillId="0" borderId="21" xfId="1" applyFont="1" applyBorder="1" applyAlignment="1">
      <alignment horizontal="center" vertical="top" wrapText="1"/>
    </xf>
    <xf numFmtId="0" fontId="5" fillId="0" borderId="2" xfId="1" applyFont="1" applyBorder="1" applyAlignment="1">
      <alignment horizontal="center" vertical="top" wrapText="1"/>
    </xf>
    <xf numFmtId="44" fontId="2" fillId="0" borderId="0" xfId="2" applyNumberFormat="1" applyFont="1" applyFill="1" applyBorder="1" applyAlignment="1">
      <alignment horizontal="center" vertical="top"/>
    </xf>
    <xf numFmtId="44" fontId="3" fillId="0" borderId="0" xfId="1" applyNumberFormat="1" applyFont="1" applyAlignment="1">
      <alignment vertical="top"/>
    </xf>
    <xf numFmtId="0" fontId="2" fillId="0" borderId="2" xfId="1" applyBorder="1" applyAlignment="1">
      <alignment vertical="top" wrapText="1"/>
    </xf>
    <xf numFmtId="168" fontId="2" fillId="0" borderId="0" xfId="5" applyFont="1" applyAlignment="1">
      <alignment horizontal="center" vertical="center"/>
    </xf>
    <xf numFmtId="169" fontId="6" fillId="0" borderId="0" xfId="5" applyNumberFormat="1" applyFont="1" applyAlignment="1">
      <alignment horizontal="center" vertical="top"/>
    </xf>
    <xf numFmtId="168" fontId="2" fillId="0" borderId="1" xfId="5" applyFont="1" applyBorder="1" applyAlignment="1">
      <alignment horizontal="center" vertical="center"/>
    </xf>
    <xf numFmtId="1" fontId="2" fillId="0" borderId="0" xfId="5" quotePrefix="1" applyNumberFormat="1" applyFont="1" applyAlignment="1">
      <alignment horizontal="center" vertical="center"/>
    </xf>
    <xf numFmtId="1" fontId="2" fillId="0" borderId="0" xfId="5" applyNumberFormat="1" applyFont="1" applyAlignment="1">
      <alignment horizontal="center" vertical="top"/>
    </xf>
    <xf numFmtId="164" fontId="2" fillId="0" borderId="2" xfId="0" applyNumberFormat="1" applyFont="1" applyBorder="1" applyAlignment="1">
      <alignment horizontal="center" vertical="top"/>
    </xf>
    <xf numFmtId="168" fontId="2" fillId="0" borderId="0" xfId="5" applyFont="1" applyAlignment="1">
      <alignment horizontal="left" vertical="center" wrapText="1"/>
    </xf>
    <xf numFmtId="0" fontId="2" fillId="0" borderId="14" xfId="1" applyBorder="1" applyAlignment="1">
      <alignment horizontal="center" vertical="top"/>
    </xf>
    <xf numFmtId="167" fontId="5" fillId="2" borderId="20" xfId="1" applyNumberFormat="1" applyFont="1" applyFill="1" applyBorder="1" applyAlignment="1">
      <alignment horizontal="center" vertical="center"/>
    </xf>
    <xf numFmtId="167" fontId="2" fillId="0" borderId="0" xfId="1" applyNumberFormat="1" applyAlignment="1">
      <alignment vertical="top"/>
    </xf>
    <xf numFmtId="44" fontId="3" fillId="0" borderId="0" xfId="5" applyNumberFormat="1" applyFont="1" applyAlignment="1">
      <alignment horizontal="center" vertical="center"/>
    </xf>
    <xf numFmtId="44" fontId="3" fillId="0" borderId="1" xfId="5" applyNumberFormat="1" applyFont="1" applyBorder="1" applyAlignment="1">
      <alignment horizontal="left" vertical="center"/>
    </xf>
    <xf numFmtId="44" fontId="3" fillId="0" borderId="1" xfId="5" applyNumberFormat="1" applyFont="1" applyBorder="1" applyAlignment="1">
      <alignment horizontal="left" vertical="center" wrapText="1"/>
    </xf>
    <xf numFmtId="44" fontId="3" fillId="0" borderId="0" xfId="5" applyNumberFormat="1" applyFont="1" applyAlignment="1">
      <alignment horizontal="left" vertical="center"/>
    </xf>
    <xf numFmtId="168" fontId="2" fillId="0" borderId="1" xfId="5" applyFont="1" applyBorder="1" applyAlignment="1">
      <alignment vertical="center" wrapText="1"/>
    </xf>
    <xf numFmtId="168" fontId="5" fillId="0" borderId="0" xfId="5" applyFont="1" applyAlignment="1">
      <alignment vertical="center" wrapText="1"/>
    </xf>
    <xf numFmtId="169" fontId="2" fillId="0" borderId="1" xfId="5" applyNumberFormat="1" applyFont="1" applyBorder="1" applyAlignment="1">
      <alignment vertical="center"/>
    </xf>
    <xf numFmtId="44" fontId="3" fillId="0" borderId="23" xfId="5" applyNumberFormat="1" applyFont="1" applyBorder="1" applyAlignment="1">
      <alignment horizontal="center" vertical="center"/>
    </xf>
    <xf numFmtId="168" fontId="2" fillId="0" borderId="0" xfId="5" applyFont="1" applyAlignment="1">
      <alignment vertical="center" wrapText="1"/>
    </xf>
    <xf numFmtId="44" fontId="4" fillId="0" borderId="0" xfId="5" applyNumberFormat="1" applyFont="1" applyAlignment="1">
      <alignment horizontal="left" vertical="center"/>
    </xf>
    <xf numFmtId="1" fontId="2" fillId="0" borderId="1" xfId="5" quotePrefix="1" applyNumberFormat="1" applyFont="1" applyBorder="1" applyAlignment="1">
      <alignment horizontal="center" vertical="center"/>
    </xf>
    <xf numFmtId="169" fontId="2" fillId="0" borderId="0" xfId="5" applyNumberFormat="1" applyFont="1" applyAlignment="1">
      <alignment vertical="center"/>
    </xf>
    <xf numFmtId="44" fontId="3" fillId="0" borderId="0" xfId="5" applyNumberFormat="1" applyFont="1" applyAlignment="1">
      <alignment horizontal="left" vertical="center" wrapText="1"/>
    </xf>
    <xf numFmtId="169" fontId="5" fillId="0" borderId="0" xfId="5" applyNumberFormat="1" applyFont="1" applyAlignment="1">
      <alignment vertical="center"/>
    </xf>
    <xf numFmtId="44" fontId="4" fillId="0" borderId="0" xfId="5" applyNumberFormat="1" applyFont="1" applyAlignment="1">
      <alignment horizontal="left" vertical="center" wrapText="1"/>
    </xf>
    <xf numFmtId="44" fontId="4" fillId="0" borderId="24" xfId="5" applyNumberFormat="1" applyFont="1" applyBorder="1" applyAlignment="1">
      <alignment horizontal="left" vertical="center"/>
    </xf>
    <xf numFmtId="44" fontId="2" fillId="0" borderId="0" xfId="6" applyFont="1" applyAlignment="1">
      <alignment vertical="top"/>
    </xf>
    <xf numFmtId="0" fontId="0" fillId="0" borderId="2" xfId="0" applyBorder="1" applyAlignment="1">
      <alignment horizontal="center"/>
    </xf>
    <xf numFmtId="0" fontId="0" fillId="0" borderId="2" xfId="0" applyBorder="1" applyAlignment="1">
      <alignment wrapText="1"/>
    </xf>
    <xf numFmtId="0" fontId="0" fillId="0" borderId="2" xfId="0" applyBorder="1"/>
    <xf numFmtId="0" fontId="10" fillId="0" borderId="2" xfId="0" applyFont="1" applyBorder="1" applyAlignment="1">
      <alignment horizontal="center"/>
    </xf>
    <xf numFmtId="0" fontId="10" fillId="0" borderId="2" xfId="0" applyFont="1" applyBorder="1"/>
    <xf numFmtId="170" fontId="0" fillId="0" borderId="2" xfId="0" applyNumberFormat="1" applyBorder="1"/>
    <xf numFmtId="0" fontId="11" fillId="0" borderId="2" xfId="0" applyFont="1" applyBorder="1" applyAlignment="1">
      <alignment wrapText="1"/>
    </xf>
    <xf numFmtId="170" fontId="0" fillId="0" borderId="2" xfId="6" applyNumberFormat="1" applyFont="1" applyBorder="1"/>
    <xf numFmtId="44" fontId="0" fillId="0" borderId="2" xfId="6" applyFont="1" applyBorder="1"/>
    <xf numFmtId="0" fontId="10" fillId="0" borderId="2" xfId="0" applyFont="1" applyBorder="1" applyAlignment="1">
      <alignment wrapText="1"/>
    </xf>
    <xf numFmtId="171" fontId="0" fillId="0" borderId="2" xfId="0" applyNumberFormat="1" applyBorder="1" applyAlignment="1">
      <alignment horizontal="center"/>
    </xf>
    <xf numFmtId="0" fontId="0" fillId="0" borderId="2" xfId="0" applyBorder="1" applyAlignment="1">
      <alignment horizontal="left" wrapText="1"/>
    </xf>
    <xf numFmtId="0" fontId="5" fillId="2" borderId="21" xfId="1" applyFont="1" applyFill="1" applyBorder="1" applyAlignment="1">
      <alignment horizontal="center" vertical="center"/>
    </xf>
    <xf numFmtId="0" fontId="5" fillId="2" borderId="21" xfId="1" applyFont="1" applyFill="1" applyBorder="1" applyAlignment="1">
      <alignment horizontal="left" vertical="center" wrapText="1"/>
    </xf>
    <xf numFmtId="167" fontId="5" fillId="2" borderId="21" xfId="1" applyNumberFormat="1" applyFont="1" applyFill="1" applyBorder="1" applyAlignment="1">
      <alignment horizontal="center" vertical="center"/>
    </xf>
    <xf numFmtId="44" fontId="5" fillId="2" borderId="21" xfId="1" applyNumberFormat="1" applyFont="1" applyFill="1" applyBorder="1" applyAlignment="1">
      <alignment horizontal="center" vertical="center"/>
    </xf>
    <xf numFmtId="44" fontId="2" fillId="0" borderId="2" xfId="1" applyNumberFormat="1" applyBorder="1" applyAlignment="1">
      <alignment horizontal="right" vertical="center"/>
    </xf>
    <xf numFmtId="44" fontId="2" fillId="0" borderId="4" xfId="1" applyNumberFormat="1" applyBorder="1" applyAlignment="1">
      <alignment horizontal="right" vertical="center"/>
    </xf>
    <xf numFmtId="44" fontId="3" fillId="0" borderId="2" xfId="1" applyNumberFormat="1" applyFont="1" applyBorder="1" applyAlignment="1">
      <alignment vertical="top"/>
    </xf>
    <xf numFmtId="0" fontId="5" fillId="0" borderId="3" xfId="1" applyFont="1" applyBorder="1" applyAlignment="1">
      <alignment horizontal="center" vertical="center"/>
    </xf>
    <xf numFmtId="0" fontId="2" fillId="0" borderId="3" xfId="3" applyBorder="1" applyAlignment="1">
      <alignment horizontal="center" vertical="top"/>
    </xf>
    <xf numFmtId="0" fontId="2" fillId="0" borderId="25" xfId="1" applyBorder="1" applyAlignment="1">
      <alignment horizontal="center" vertical="top" wrapText="1"/>
    </xf>
    <xf numFmtId="44" fontId="3" fillId="0" borderId="21" xfId="1" applyNumberFormat="1" applyFont="1" applyBorder="1" applyAlignment="1">
      <alignment vertical="top"/>
    </xf>
    <xf numFmtId="0" fontId="2" fillId="0" borderId="3" xfId="1" applyBorder="1" applyAlignment="1">
      <alignment horizontal="center" vertical="top" wrapText="1"/>
    </xf>
    <xf numFmtId="44" fontId="3" fillId="0" borderId="4" xfId="1" applyNumberFormat="1" applyFont="1" applyBorder="1" applyAlignment="1">
      <alignment vertical="top"/>
    </xf>
    <xf numFmtId="0" fontId="2" fillId="0" borderId="2" xfId="3" applyBorder="1" applyAlignment="1">
      <alignment horizontal="center" vertical="top"/>
    </xf>
    <xf numFmtId="44" fontId="2" fillId="0" borderId="2" xfId="1" applyNumberFormat="1" applyBorder="1" applyAlignment="1">
      <alignment vertical="top"/>
    </xf>
    <xf numFmtId="0" fontId="2" fillId="0" borderId="26" xfId="3" applyBorder="1" applyAlignment="1">
      <alignment horizontal="center" vertical="top"/>
    </xf>
    <xf numFmtId="0" fontId="2" fillId="0" borderId="26" xfId="1" applyBorder="1" applyAlignment="1">
      <alignment vertical="top" wrapText="1"/>
    </xf>
    <xf numFmtId="0" fontId="2" fillId="0" borderId="26" xfId="3" applyBorder="1" applyAlignment="1">
      <alignment horizontal="center" vertical="top" wrapText="1"/>
    </xf>
    <xf numFmtId="0" fontId="2" fillId="0" borderId="26" xfId="0" applyFont="1" applyBorder="1" applyAlignment="1">
      <alignment horizontal="center" vertical="top"/>
    </xf>
    <xf numFmtId="164" fontId="2" fillId="0" borderId="26" xfId="0" applyNumberFormat="1" applyFont="1" applyBorder="1" applyAlignment="1">
      <alignment horizontal="center" vertical="top"/>
    </xf>
    <xf numFmtId="44" fontId="2" fillId="0" borderId="26" xfId="1" applyNumberFormat="1" applyBorder="1" applyAlignment="1">
      <alignment vertical="top"/>
    </xf>
    <xf numFmtId="0" fontId="5" fillId="0" borderId="22" xfId="0" applyFont="1" applyBorder="1" applyAlignment="1">
      <alignment horizontal="left" vertical="top"/>
    </xf>
    <xf numFmtId="0" fontId="2" fillId="0" borderId="27" xfId="0" applyFont="1" applyBorder="1" applyAlignment="1">
      <alignment horizontal="left" vertical="top"/>
    </xf>
    <xf numFmtId="0" fontId="2" fillId="0" borderId="27" xfId="0" applyFont="1" applyBorder="1" applyAlignment="1">
      <alignment horizontal="center" vertical="top"/>
    </xf>
    <xf numFmtId="44" fontId="2" fillId="0" borderId="22" xfId="2" applyNumberFormat="1" applyFont="1" applyBorder="1" applyAlignment="1">
      <alignment horizontal="center" vertical="top"/>
    </xf>
    <xf numFmtId="0" fontId="2" fillId="0" borderId="2" xfId="1" applyBorder="1" applyAlignment="1">
      <alignment vertical="top"/>
    </xf>
    <xf numFmtId="44" fontId="5" fillId="0" borderId="2" xfId="1" applyNumberFormat="1" applyFont="1" applyBorder="1" applyAlignment="1">
      <alignment vertical="center"/>
    </xf>
    <xf numFmtId="0" fontId="5" fillId="0" borderId="26" xfId="0" applyFont="1" applyBorder="1" applyAlignment="1">
      <alignment horizontal="left" vertical="top"/>
    </xf>
    <xf numFmtId="0" fontId="2" fillId="0" borderId="1" xfId="0" applyFont="1" applyBorder="1" applyAlignment="1">
      <alignment horizontal="center" vertical="top"/>
    </xf>
    <xf numFmtId="44" fontId="2" fillId="0" borderId="26" xfId="2" applyNumberFormat="1" applyFont="1" applyBorder="1" applyAlignment="1">
      <alignment horizontal="center" vertical="top"/>
    </xf>
    <xf numFmtId="0" fontId="5" fillId="0" borderId="15" xfId="1" applyFont="1" applyBorder="1" applyAlignment="1">
      <alignment horizontal="left" vertical="top" wrapText="1"/>
    </xf>
    <xf numFmtId="0" fontId="5" fillId="0" borderId="5" xfId="1" applyFont="1" applyBorder="1" applyAlignment="1">
      <alignment horizontal="left" vertical="top" wrapText="1"/>
    </xf>
    <xf numFmtId="0" fontId="5" fillId="0" borderId="16" xfId="1" applyFont="1" applyBorder="1" applyAlignment="1">
      <alignment horizontal="left" vertical="top" wrapText="1"/>
    </xf>
    <xf numFmtId="2" fontId="5" fillId="0" borderId="0" xfId="1" applyNumberFormat="1" applyFont="1" applyAlignment="1">
      <alignment horizontal="left"/>
    </xf>
    <xf numFmtId="0" fontId="2" fillId="0" borderId="5" xfId="1" applyBorder="1" applyAlignment="1">
      <alignment horizontal="center" vertical="center"/>
    </xf>
    <xf numFmtId="0" fontId="5" fillId="0" borderId="17" xfId="1" applyFont="1" applyBorder="1" applyAlignment="1">
      <alignment horizontal="left" vertical="top" wrapText="1"/>
    </xf>
    <xf numFmtId="0" fontId="5" fillId="0" borderId="18" xfId="1" applyFont="1" applyBorder="1" applyAlignment="1">
      <alignment horizontal="left" vertical="top" wrapText="1"/>
    </xf>
    <xf numFmtId="0" fontId="5" fillId="0" borderId="19" xfId="1" applyFont="1" applyBorder="1" applyAlignment="1">
      <alignment horizontal="left" vertical="top" wrapText="1"/>
    </xf>
    <xf numFmtId="0" fontId="5" fillId="0" borderId="3" xfId="1" applyFont="1" applyBorder="1" applyAlignment="1">
      <alignment horizontal="right" vertical="center" wrapText="1"/>
    </xf>
    <xf numFmtId="0" fontId="5" fillId="0" borderId="0" xfId="1" applyFont="1" applyAlignment="1">
      <alignment horizontal="right" vertical="center" wrapText="1"/>
    </xf>
    <xf numFmtId="0" fontId="5" fillId="0" borderId="4" xfId="1" applyFont="1" applyBorder="1" applyAlignment="1">
      <alignment horizontal="right" vertical="center" wrapText="1"/>
    </xf>
    <xf numFmtId="0" fontId="5" fillId="0" borderId="0" xfId="1" applyFont="1" applyAlignment="1">
      <alignment horizontal="right" vertical="top" wrapText="1"/>
    </xf>
    <xf numFmtId="0" fontId="5" fillId="0" borderId="4" xfId="1" applyFont="1" applyBorder="1" applyAlignment="1">
      <alignment horizontal="right" vertical="top" wrapText="1"/>
    </xf>
    <xf numFmtId="168" fontId="2" fillId="0" borderId="0" xfId="5" applyFont="1" applyAlignment="1">
      <alignment horizontal="left" vertical="top" wrapText="1"/>
    </xf>
    <xf numFmtId="168" fontId="4" fillId="0" borderId="0" xfId="5" applyFont="1" applyAlignment="1">
      <alignment horizontal="center" wrapText="1"/>
    </xf>
    <xf numFmtId="0" fontId="2" fillId="0" borderId="0" xfId="1" applyAlignment="1">
      <alignment horizontal="center" vertical="center"/>
    </xf>
    <xf numFmtId="168" fontId="2" fillId="0" borderId="0" xfId="5" applyFont="1" applyAlignment="1">
      <alignment vertical="center" wrapText="1"/>
    </xf>
    <xf numFmtId="168" fontId="5" fillId="0" borderId="0" xfId="5" applyFont="1" applyAlignment="1">
      <alignment horizontal="left" vertical="top" wrapText="1"/>
    </xf>
  </cellXfs>
  <cellStyles count="7">
    <cellStyle name="Comma0 2" xfId="2" xr:uid="{BED20E50-74B3-4096-8718-D522FAF0C4D7}"/>
    <cellStyle name="Currency" xfId="6" builtinId="4"/>
    <cellStyle name="Currency 2" xfId="4" xr:uid="{AFE99CCC-AD94-4602-AF6D-F51BCDBA8302}"/>
    <cellStyle name="Normal" xfId="0" builtinId="0"/>
    <cellStyle name="Normal 2" xfId="1" xr:uid="{4024FE80-992C-428A-9940-5A90CB0F36B1}"/>
    <cellStyle name="Normal 2 2 2" xfId="3" xr:uid="{AA91E8A1-C5EC-4D1A-B605-8849868E0D54}"/>
    <cellStyle name="Normal_Vista BILL SUM1" xfId="5" xr:uid="{C26F0DE0-D648-4DED-996B-A421C7E279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4D4C-5FF2-41E6-BAA7-4AB8FE244FDE}">
  <sheetPr>
    <pageSetUpPr fitToPage="1"/>
  </sheetPr>
  <dimension ref="A1:F34"/>
  <sheetViews>
    <sheetView showGridLines="0" view="pageLayout" topLeftCell="A38" zoomScaleNormal="100" zoomScaleSheetLayoutView="85" workbookViewId="0">
      <selection activeCell="E40" sqref="E40"/>
    </sheetView>
  </sheetViews>
  <sheetFormatPr defaultRowHeight="15" x14ac:dyDescent="0.25"/>
  <cols>
    <col min="2" max="2" width="39.42578125" customWidth="1"/>
    <col min="3" max="3" width="6.5703125" customWidth="1"/>
    <col min="4" max="4" width="5.140625" customWidth="1"/>
    <col min="5" max="6" width="14.5703125" customWidth="1"/>
  </cols>
  <sheetData>
    <row r="1" spans="1:6" x14ac:dyDescent="0.25">
      <c r="A1" s="147" t="s">
        <v>29</v>
      </c>
      <c r="B1" s="147"/>
      <c r="C1" s="147"/>
      <c r="D1" s="147"/>
      <c r="E1" s="147"/>
      <c r="F1" s="147"/>
    </row>
    <row r="2" spans="1:6" ht="15.75" thickBot="1" x14ac:dyDescent="0.3">
      <c r="A2" s="24"/>
      <c r="B2" s="25"/>
      <c r="C2" s="24"/>
      <c r="D2" s="148"/>
      <c r="E2" s="148"/>
      <c r="F2" s="148"/>
    </row>
    <row r="3" spans="1:6" ht="15.75" thickBot="1" x14ac:dyDescent="0.3">
      <c r="A3" s="26" t="s">
        <v>1</v>
      </c>
      <c r="B3" s="27" t="s">
        <v>2</v>
      </c>
      <c r="C3" s="28" t="s">
        <v>3</v>
      </c>
      <c r="D3" s="28" t="s">
        <v>4</v>
      </c>
      <c r="E3" s="66" t="s">
        <v>5</v>
      </c>
      <c r="F3" s="83" t="s">
        <v>6</v>
      </c>
    </row>
    <row r="4" spans="1:6" x14ac:dyDescent="0.25">
      <c r="A4" s="29"/>
      <c r="B4" s="30"/>
      <c r="C4" s="31"/>
      <c r="D4" s="31"/>
      <c r="E4" s="57"/>
      <c r="F4" s="69"/>
    </row>
    <row r="5" spans="1:6" x14ac:dyDescent="0.25">
      <c r="A5" s="64">
        <v>1</v>
      </c>
      <c r="B5" s="33" t="s">
        <v>39</v>
      </c>
      <c r="C5" s="15"/>
      <c r="D5" s="15"/>
      <c r="E5" s="59"/>
      <c r="F5" s="60"/>
    </row>
    <row r="6" spans="1:6" x14ac:dyDescent="0.25">
      <c r="A6" s="58"/>
      <c r="B6" s="33"/>
      <c r="C6" s="15"/>
      <c r="D6" s="15"/>
      <c r="E6" s="59"/>
      <c r="F6" s="60"/>
    </row>
    <row r="7" spans="1:6" ht="42.6" customHeight="1" x14ac:dyDescent="0.25">
      <c r="A7" s="32" t="str">
        <f>A$5&amp;"."&amp;COUNTA(B$7:B7)</f>
        <v>1.1</v>
      </c>
      <c r="B7" s="23" t="s">
        <v>40</v>
      </c>
      <c r="C7" s="15" t="s">
        <v>11</v>
      </c>
      <c r="D7" s="15">
        <v>1</v>
      </c>
      <c r="E7" s="59"/>
      <c r="F7" s="60">
        <f>E7*D7</f>
        <v>0</v>
      </c>
    </row>
    <row r="8" spans="1:6" x14ac:dyDescent="0.25">
      <c r="A8" s="34"/>
      <c r="B8" s="23"/>
      <c r="C8" s="15"/>
      <c r="D8" s="15"/>
      <c r="E8" s="59"/>
      <c r="F8" s="60"/>
    </row>
    <row r="9" spans="1:6" x14ac:dyDescent="0.25">
      <c r="A9" s="32" t="str">
        <f>A$5&amp;"."&amp;COUNTA(B$7:B9)</f>
        <v>1.2</v>
      </c>
      <c r="B9" s="23" t="s">
        <v>22</v>
      </c>
      <c r="C9" s="15" t="s">
        <v>11</v>
      </c>
      <c r="D9" s="15">
        <v>1</v>
      </c>
      <c r="E9" s="59"/>
      <c r="F9" s="60">
        <f>E9*D9</f>
        <v>0</v>
      </c>
    </row>
    <row r="10" spans="1:6" x14ac:dyDescent="0.25">
      <c r="A10" s="34"/>
      <c r="B10" s="23"/>
      <c r="C10" s="15"/>
      <c r="D10" s="15"/>
      <c r="E10" s="59"/>
      <c r="F10" s="60"/>
    </row>
    <row r="11" spans="1:6" x14ac:dyDescent="0.25">
      <c r="A11" s="32" t="str">
        <f>A$5&amp;"."&amp;COUNTA(B$7:B11)</f>
        <v>1.3</v>
      </c>
      <c r="B11" s="61" t="s">
        <v>21</v>
      </c>
      <c r="C11" s="15" t="s">
        <v>11</v>
      </c>
      <c r="D11" s="15">
        <v>1</v>
      </c>
      <c r="E11" s="59"/>
      <c r="F11" s="60">
        <f>E11*D11</f>
        <v>0</v>
      </c>
    </row>
    <row r="12" spans="1:6" x14ac:dyDescent="0.25">
      <c r="A12" s="32"/>
      <c r="B12" s="23" t="s">
        <v>7</v>
      </c>
      <c r="C12" s="15"/>
      <c r="D12" s="15"/>
      <c r="E12" s="59"/>
      <c r="F12" s="60"/>
    </row>
    <row r="13" spans="1:6" ht="25.5" x14ac:dyDescent="0.25">
      <c r="A13" s="32" t="str">
        <f>A$5&amp;"."&amp;COUNTA(B$7:B13)</f>
        <v>1.5</v>
      </c>
      <c r="B13" s="23" t="s">
        <v>23</v>
      </c>
      <c r="C13" s="15" t="s">
        <v>11</v>
      </c>
      <c r="D13" s="15">
        <v>1</v>
      </c>
      <c r="E13" s="59"/>
      <c r="F13" s="60">
        <f>E13*D13</f>
        <v>0</v>
      </c>
    </row>
    <row r="14" spans="1:6" x14ac:dyDescent="0.25">
      <c r="A14" s="34"/>
      <c r="B14" s="23"/>
      <c r="C14" s="15"/>
      <c r="D14" s="15"/>
      <c r="E14" s="59"/>
      <c r="F14" s="60"/>
    </row>
    <row r="15" spans="1:6" ht="63.75" x14ac:dyDescent="0.25">
      <c r="A15" s="32" t="str">
        <f>A$5&amp;"."&amp;COUNTA(B$7:B15)</f>
        <v>1.6</v>
      </c>
      <c r="B15" s="23" t="s">
        <v>20</v>
      </c>
      <c r="C15" s="15" t="s">
        <v>11</v>
      </c>
      <c r="D15" s="15">
        <v>1</v>
      </c>
      <c r="E15" s="59"/>
      <c r="F15" s="60">
        <f>E15*D15</f>
        <v>0</v>
      </c>
    </row>
    <row r="16" spans="1:6" x14ac:dyDescent="0.25">
      <c r="A16" s="32"/>
      <c r="B16" s="23"/>
      <c r="C16" s="15"/>
      <c r="D16" s="15"/>
      <c r="E16" s="59"/>
      <c r="F16" s="60"/>
    </row>
    <row r="17" spans="1:6" x14ac:dyDescent="0.25">
      <c r="A17" s="32" t="str">
        <f>A$5&amp;"."&amp;COUNTA(B$7:B17)</f>
        <v>1.7</v>
      </c>
      <c r="B17" s="23" t="s">
        <v>30</v>
      </c>
      <c r="C17" s="15" t="s">
        <v>11</v>
      </c>
      <c r="D17" s="15">
        <v>1</v>
      </c>
      <c r="E17" s="59"/>
      <c r="F17" s="60">
        <f>E17*D17</f>
        <v>0</v>
      </c>
    </row>
    <row r="18" spans="1:6" x14ac:dyDescent="0.25">
      <c r="A18" s="32"/>
      <c r="B18" s="23"/>
      <c r="C18" s="15"/>
      <c r="D18" s="15"/>
      <c r="E18" s="59"/>
      <c r="F18" s="60"/>
    </row>
    <row r="19" spans="1:6" ht="51" x14ac:dyDescent="0.25">
      <c r="A19" s="32" t="str">
        <f>A$5&amp;"."&amp;COUNTA(B$7:B19)</f>
        <v>1.8</v>
      </c>
      <c r="B19" s="23" t="s">
        <v>24</v>
      </c>
      <c r="C19" s="15" t="s">
        <v>11</v>
      </c>
      <c r="D19" s="15">
        <v>1</v>
      </c>
      <c r="E19" s="59"/>
      <c r="F19" s="60">
        <f>E19*D19</f>
        <v>0</v>
      </c>
    </row>
    <row r="20" spans="1:6" x14ac:dyDescent="0.25">
      <c r="A20" s="34"/>
      <c r="B20" s="23"/>
      <c r="C20" s="15"/>
      <c r="D20" s="15"/>
      <c r="E20" s="59"/>
      <c r="F20" s="60"/>
    </row>
    <row r="21" spans="1:6" ht="63.75" x14ac:dyDescent="0.25">
      <c r="A21" s="32" t="str">
        <f>A$5&amp;"."&amp;COUNTA(B$7:B21)</f>
        <v>1.9</v>
      </c>
      <c r="B21" s="23" t="s">
        <v>25</v>
      </c>
      <c r="C21" s="15" t="s">
        <v>11</v>
      </c>
      <c r="D21" s="15">
        <v>1</v>
      </c>
      <c r="E21" s="59"/>
      <c r="F21" s="60">
        <f>E21*D21</f>
        <v>0</v>
      </c>
    </row>
    <row r="22" spans="1:6" x14ac:dyDescent="0.25">
      <c r="A22" s="32"/>
      <c r="B22" s="23"/>
      <c r="C22" s="15"/>
      <c r="D22" s="15"/>
      <c r="E22" s="59"/>
      <c r="F22" s="60"/>
    </row>
    <row r="23" spans="1:6" x14ac:dyDescent="0.25">
      <c r="A23" s="32" t="str">
        <f>A$5&amp;"."&amp;COUNTA(B$7:B23)</f>
        <v>1.10</v>
      </c>
      <c r="B23" s="23" t="s">
        <v>27</v>
      </c>
      <c r="C23" s="15" t="s">
        <v>11</v>
      </c>
      <c r="D23" s="15">
        <v>1</v>
      </c>
      <c r="E23" s="59"/>
      <c r="F23" s="60">
        <f>E23*D23</f>
        <v>0</v>
      </c>
    </row>
    <row r="24" spans="1:6" x14ac:dyDescent="0.25">
      <c r="A24" s="32"/>
      <c r="B24" s="23"/>
      <c r="C24" s="15"/>
      <c r="D24" s="15"/>
      <c r="E24" s="59"/>
      <c r="F24" s="60"/>
    </row>
    <row r="25" spans="1:6" ht="25.5" x14ac:dyDescent="0.25">
      <c r="A25" s="32" t="str">
        <f>A$5&amp;"."&amp;COUNTA(B$7:B25)</f>
        <v>1.11</v>
      </c>
      <c r="B25" s="23" t="s">
        <v>26</v>
      </c>
      <c r="C25" s="15" t="s">
        <v>11</v>
      </c>
      <c r="D25" s="15">
        <v>1</v>
      </c>
      <c r="E25" s="59"/>
      <c r="F25" s="60">
        <f>E25*D25</f>
        <v>0</v>
      </c>
    </row>
    <row r="26" spans="1:6" x14ac:dyDescent="0.25">
      <c r="A26" s="82"/>
      <c r="B26" s="23" t="s">
        <v>7</v>
      </c>
      <c r="C26" s="15" t="s">
        <v>7</v>
      </c>
      <c r="D26" s="15" t="s">
        <v>7</v>
      </c>
      <c r="E26" s="59"/>
      <c r="F26" s="60"/>
    </row>
    <row r="27" spans="1:6" ht="38.25" x14ac:dyDescent="0.25">
      <c r="A27" s="32" t="str">
        <f>A$5&amp;"."&amp;COUNTA(B$7:B27)</f>
        <v>1.13</v>
      </c>
      <c r="B27" s="23" t="s">
        <v>28</v>
      </c>
      <c r="C27" s="15" t="s">
        <v>11</v>
      </c>
      <c r="D27" s="15">
        <v>1</v>
      </c>
      <c r="E27" s="59"/>
      <c r="F27" s="60">
        <f>E27*D27</f>
        <v>0</v>
      </c>
    </row>
    <row r="28" spans="1:6" x14ac:dyDescent="0.25">
      <c r="A28" s="82"/>
      <c r="B28" s="23"/>
      <c r="C28" s="3"/>
      <c r="D28" s="15"/>
      <c r="E28" s="84"/>
      <c r="F28" s="60"/>
    </row>
    <row r="29" spans="1:6" x14ac:dyDescent="0.25">
      <c r="A29" s="32" t="str">
        <f>A$5&amp;"."&amp;COUNTA(B$7:B29)</f>
        <v>1.14</v>
      </c>
      <c r="B29" s="23" t="s">
        <v>12</v>
      </c>
      <c r="C29" s="15" t="s">
        <v>11</v>
      </c>
      <c r="D29" s="15">
        <v>1</v>
      </c>
      <c r="E29" s="59"/>
      <c r="F29" s="60">
        <f>E29*D29</f>
        <v>0</v>
      </c>
    </row>
    <row r="30" spans="1:6" x14ac:dyDescent="0.25">
      <c r="A30" s="32"/>
      <c r="B30" s="23"/>
      <c r="C30" s="15"/>
      <c r="D30" s="15"/>
      <c r="E30" s="59"/>
      <c r="F30" s="60"/>
    </row>
    <row r="31" spans="1:6" ht="15.75" thickBot="1" x14ac:dyDescent="0.3">
      <c r="A31" s="32"/>
      <c r="B31" s="33"/>
      <c r="C31" s="15"/>
      <c r="D31" s="15"/>
      <c r="E31" s="59"/>
      <c r="F31" s="60"/>
    </row>
    <row r="32" spans="1:6" x14ac:dyDescent="0.25">
      <c r="A32" s="35"/>
      <c r="B32" s="149"/>
      <c r="C32" s="150"/>
      <c r="D32" s="150"/>
      <c r="E32" s="151"/>
      <c r="F32" s="62"/>
    </row>
    <row r="33" spans="1:6" ht="30" customHeight="1" x14ac:dyDescent="0.25">
      <c r="A33" s="36"/>
      <c r="B33" s="152" t="s">
        <v>31</v>
      </c>
      <c r="C33" s="153"/>
      <c r="D33" s="153"/>
      <c r="E33" s="154"/>
      <c r="F33" s="65">
        <f>SUM(F5:F31)</f>
        <v>0</v>
      </c>
    </row>
    <row r="34" spans="1:6" ht="15.75" thickBot="1" x14ac:dyDescent="0.3">
      <c r="A34" s="37"/>
      <c r="B34" s="144"/>
      <c r="C34" s="145"/>
      <c r="D34" s="145"/>
      <c r="E34" s="146"/>
      <c r="F34" s="63"/>
    </row>
  </sheetData>
  <mergeCells count="5">
    <mergeCell ref="B34:E34"/>
    <mergeCell ref="A1:F1"/>
    <mergeCell ref="D2:F2"/>
    <mergeCell ref="B32:E32"/>
    <mergeCell ref="B33:E33"/>
  </mergeCells>
  <pageMargins left="0.70866141732283472" right="0.70866141732283472" top="0.74803149606299213" bottom="0.74803149606299213" header="0.31496062992125984" footer="0.31496062992125984"/>
  <pageSetup paperSize="9" scale="97" orientation="portrait" useFirstPageNumber="1" r:id="rId1"/>
  <headerFooter>
    <oddHeader xml:space="preserve">&amp;L&amp;"Arial,Regular"&amp;9FORT HARE UNIVERSITY
FINANCE OFFICES - FIRE PROTECTION INSTALLATION
</oddHeader>
    <oddFooter xml:space="preserve">&amp;L&amp;"Arial,Regular"&amp;9UNIVERSITY OF FORT HARE FINANCIAL OFFICE -  FIRE PROTECTION INSTALLATION&amp;R&amp;"Arial,Regular"&amp;9Page 6.&amp;P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02418-1A43-4A79-9212-A9B5E9EC03A8}">
  <dimension ref="A1:O1250"/>
  <sheetViews>
    <sheetView showGridLines="0" tabSelected="1" view="pageLayout" topLeftCell="A39" zoomScaleNormal="130" zoomScaleSheetLayoutView="110" workbookViewId="0">
      <selection activeCell="D48" sqref="D48"/>
    </sheetView>
  </sheetViews>
  <sheetFormatPr defaultColWidth="5.7109375" defaultRowHeight="14.25" x14ac:dyDescent="0.25"/>
  <cols>
    <col min="1" max="1" width="9.140625" style="1" customWidth="1"/>
    <col min="2" max="2" width="39.42578125" style="4" customWidth="1"/>
    <col min="3" max="3" width="6.5703125" style="1" customWidth="1"/>
    <col min="4" max="4" width="5.140625" style="3" customWidth="1"/>
    <col min="5" max="5" width="14.5703125" style="2" customWidth="1"/>
    <col min="6" max="6" width="14.5703125" style="73" customWidth="1"/>
    <col min="7" max="16384" width="5.7109375" style="1"/>
  </cols>
  <sheetData>
    <row r="1" spans="1:6" ht="12.75" x14ac:dyDescent="0.25">
      <c r="A1" s="20" t="s">
        <v>38</v>
      </c>
      <c r="B1" s="14"/>
      <c r="C1" s="14"/>
      <c r="D1" s="13"/>
      <c r="E1" s="13"/>
      <c r="F1" s="72"/>
    </row>
    <row r="2" spans="1:6" ht="12.75" x14ac:dyDescent="0.25">
      <c r="A2" s="20"/>
      <c r="B2" s="14"/>
      <c r="C2" s="14"/>
      <c r="D2" s="13"/>
      <c r="E2" s="13"/>
      <c r="F2" s="72"/>
    </row>
    <row r="3" spans="1:6" s="5" customFormat="1" ht="12.75" x14ac:dyDescent="0.25">
      <c r="A3" s="114" t="s">
        <v>1</v>
      </c>
      <c r="B3" s="115" t="s">
        <v>2</v>
      </c>
      <c r="C3" s="114" t="s">
        <v>3</v>
      </c>
      <c r="D3" s="114" t="s">
        <v>4</v>
      </c>
      <c r="E3" s="116" t="s">
        <v>5</v>
      </c>
      <c r="F3" s="117" t="s">
        <v>6</v>
      </c>
    </row>
    <row r="4" spans="1:6" s="5" customFormat="1" ht="12.75" x14ac:dyDescent="0.25">
      <c r="A4" s="31"/>
      <c r="B4" s="30"/>
      <c r="C4" s="31"/>
      <c r="D4" s="31"/>
      <c r="E4" s="57"/>
      <c r="F4" s="118"/>
    </row>
    <row r="5" spans="1:6" s="5" customFormat="1" ht="15" x14ac:dyDescent="0.25">
      <c r="A5" s="105">
        <v>2.1</v>
      </c>
      <c r="B5" s="106" t="s">
        <v>48</v>
      </c>
      <c r="C5" s="102"/>
      <c r="D5" s="102"/>
      <c r="E5" s="57"/>
      <c r="F5" s="119"/>
    </row>
    <row r="6" spans="1:6" s="5" customFormat="1" ht="60" x14ac:dyDescent="0.25">
      <c r="A6" s="102"/>
      <c r="B6" s="108" t="s">
        <v>49</v>
      </c>
      <c r="C6" s="102"/>
      <c r="D6" s="102"/>
      <c r="E6" s="57"/>
      <c r="F6" s="119"/>
    </row>
    <row r="7" spans="1:6" s="5" customFormat="1" ht="15" x14ac:dyDescent="0.25">
      <c r="A7" s="102" t="str">
        <f>A$5&amp;"."&amp;COUNTA(C$5:C7)</f>
        <v>2.1.1</v>
      </c>
      <c r="B7" s="103" t="s">
        <v>46</v>
      </c>
      <c r="C7" s="102" t="s">
        <v>45</v>
      </c>
      <c r="D7" s="102">
        <v>4</v>
      </c>
      <c r="E7" s="57"/>
      <c r="F7" s="119"/>
    </row>
    <row r="8" spans="1:6" s="5" customFormat="1" ht="15" x14ac:dyDescent="0.25">
      <c r="A8" s="102" t="str">
        <f>A$5&amp;"."&amp;COUNTA(C$5:C8)</f>
        <v>2.1.2</v>
      </c>
      <c r="B8" s="103" t="s">
        <v>47</v>
      </c>
      <c r="C8" s="102" t="s">
        <v>45</v>
      </c>
      <c r="D8" s="102">
        <v>4</v>
      </c>
      <c r="E8" s="57"/>
      <c r="F8" s="119"/>
    </row>
    <row r="9" spans="1:6" s="5" customFormat="1" ht="15" x14ac:dyDescent="0.25">
      <c r="A9" s="102"/>
      <c r="B9" s="103"/>
      <c r="C9" s="102"/>
      <c r="D9" s="102"/>
      <c r="E9" s="57"/>
      <c r="F9" s="119"/>
    </row>
    <row r="10" spans="1:6" s="5" customFormat="1" ht="15" x14ac:dyDescent="0.25">
      <c r="A10" s="105">
        <f>A5+1</f>
        <v>3.1</v>
      </c>
      <c r="B10" s="106" t="s">
        <v>50</v>
      </c>
      <c r="C10" s="102"/>
      <c r="D10" s="102"/>
      <c r="E10" s="57"/>
      <c r="F10" s="119"/>
    </row>
    <row r="11" spans="1:6" s="5" customFormat="1" ht="60" x14ac:dyDescent="0.25">
      <c r="A11" s="102"/>
      <c r="B11" s="108" t="s">
        <v>51</v>
      </c>
      <c r="C11" s="102"/>
      <c r="D11" s="102"/>
      <c r="E11" s="57"/>
      <c r="F11" s="120">
        <f>$E11*D11</f>
        <v>0</v>
      </c>
    </row>
    <row r="12" spans="1:6" s="5" customFormat="1" ht="15" x14ac:dyDescent="0.25">
      <c r="A12" s="102" t="str">
        <f>A$10&amp;"."&amp;COUNTA(C$10:C12)</f>
        <v>3.1.1</v>
      </c>
      <c r="B12" s="104" t="s">
        <v>52</v>
      </c>
      <c r="C12" s="102" t="s">
        <v>45</v>
      </c>
      <c r="D12" s="102">
        <v>2</v>
      </c>
      <c r="E12" s="57"/>
      <c r="F12" s="119"/>
    </row>
    <row r="13" spans="1:6" s="5" customFormat="1" ht="12.75" x14ac:dyDescent="0.25">
      <c r="A13" s="121"/>
      <c r="B13" s="30"/>
      <c r="C13" s="31"/>
      <c r="D13" s="31"/>
      <c r="E13" s="57"/>
      <c r="F13" s="119"/>
    </row>
    <row r="14" spans="1:6" s="5" customFormat="1" ht="15" x14ac:dyDescent="0.25">
      <c r="A14" s="105">
        <f>A10+1</f>
        <v>4.0999999999999996</v>
      </c>
      <c r="B14" s="106" t="s">
        <v>61</v>
      </c>
      <c r="C14" s="102"/>
      <c r="D14" s="102"/>
      <c r="E14" s="109"/>
      <c r="F14" s="109"/>
    </row>
    <row r="15" spans="1:6" s="5" customFormat="1" ht="75" x14ac:dyDescent="0.25">
      <c r="A15" s="102"/>
      <c r="B15" s="108" t="s">
        <v>78</v>
      </c>
      <c r="C15" s="102"/>
      <c r="D15" s="102"/>
      <c r="E15" s="109"/>
      <c r="F15" s="109"/>
    </row>
    <row r="16" spans="1:6" s="5" customFormat="1" ht="15" x14ac:dyDescent="0.25">
      <c r="A16" s="102" t="str">
        <f>A$14&amp;"."&amp;COUNTA(C$14:C16)</f>
        <v>4.1.1</v>
      </c>
      <c r="B16" s="104" t="s">
        <v>62</v>
      </c>
      <c r="C16" s="102" t="s">
        <v>0</v>
      </c>
      <c r="D16" s="102">
        <v>6</v>
      </c>
      <c r="E16" s="109">
        <v>0</v>
      </c>
      <c r="F16" s="109">
        <f t="shared" ref="F16:F17" si="0">IFERROR(E16*D16,"")</f>
        <v>0</v>
      </c>
    </row>
    <row r="17" spans="1:6" s="5" customFormat="1" ht="15" x14ac:dyDescent="0.25">
      <c r="A17" s="102" t="str">
        <f>A$14&amp;"."&amp;COUNTA(C$14:C17)</f>
        <v>4.1.2</v>
      </c>
      <c r="B17" s="104" t="s">
        <v>63</v>
      </c>
      <c r="C17" s="102" t="s">
        <v>0</v>
      </c>
      <c r="D17" s="102">
        <v>24</v>
      </c>
      <c r="E17" s="109">
        <v>0</v>
      </c>
      <c r="F17" s="109">
        <f t="shared" si="0"/>
        <v>0</v>
      </c>
    </row>
    <row r="18" spans="1:6" s="5" customFormat="1" ht="15" x14ac:dyDescent="0.25">
      <c r="A18" s="102"/>
      <c r="B18" s="104"/>
      <c r="C18" s="102"/>
      <c r="D18" s="102"/>
      <c r="E18" s="107"/>
      <c r="F18" s="107"/>
    </row>
    <row r="19" spans="1:6" s="5" customFormat="1" ht="15" x14ac:dyDescent="0.25">
      <c r="A19" s="105">
        <f>A14+1</f>
        <v>5.0999999999999996</v>
      </c>
      <c r="B19" s="106" t="s">
        <v>64</v>
      </c>
      <c r="C19" s="102"/>
      <c r="D19" s="102"/>
      <c r="E19" s="110"/>
      <c r="F19" s="110"/>
    </row>
    <row r="20" spans="1:6" s="5" customFormat="1" ht="30" x14ac:dyDescent="0.25">
      <c r="A20" s="102"/>
      <c r="B20" s="108" t="s">
        <v>65</v>
      </c>
      <c r="C20" s="102"/>
      <c r="D20" s="102"/>
      <c r="E20" s="110"/>
      <c r="F20" s="110"/>
    </row>
    <row r="21" spans="1:6" s="5" customFormat="1" ht="15" x14ac:dyDescent="0.25">
      <c r="A21" s="105"/>
      <c r="B21" s="111" t="s">
        <v>66</v>
      </c>
      <c r="C21" s="102"/>
      <c r="D21" s="102"/>
      <c r="E21" s="110"/>
      <c r="F21" s="110"/>
    </row>
    <row r="22" spans="1:6" s="5" customFormat="1" ht="15" x14ac:dyDescent="0.25">
      <c r="A22" s="102" t="str">
        <f>A$19&amp;"."&amp;COUNTA(C$19:C22)</f>
        <v>5.1.1</v>
      </c>
      <c r="B22" s="104" t="s">
        <v>67</v>
      </c>
      <c r="C22" s="102" t="s">
        <v>45</v>
      </c>
      <c r="D22" s="102">
        <v>3</v>
      </c>
      <c r="E22" s="109">
        <v>0</v>
      </c>
      <c r="F22" s="109">
        <f t="shared" ref="F22:F24" si="1">IFERROR(E22*D22,"")</f>
        <v>0</v>
      </c>
    </row>
    <row r="23" spans="1:6" s="5" customFormat="1" ht="15" x14ac:dyDescent="0.25">
      <c r="A23" s="102" t="str">
        <f>A$19&amp;"."&amp;COUNTA(C$19:C23)</f>
        <v>5.1.2</v>
      </c>
      <c r="B23" s="104" t="s">
        <v>77</v>
      </c>
      <c r="C23" s="102" t="s">
        <v>45</v>
      </c>
      <c r="D23" s="102">
        <v>1</v>
      </c>
      <c r="E23" s="109">
        <v>0</v>
      </c>
      <c r="F23" s="109">
        <f t="shared" si="1"/>
        <v>0</v>
      </c>
    </row>
    <row r="24" spans="1:6" s="5" customFormat="1" ht="15" x14ac:dyDescent="0.25">
      <c r="A24" s="102" t="str">
        <f>A$19&amp;"."&amp;COUNTA(C$19:C24)</f>
        <v>5.1.3</v>
      </c>
      <c r="B24" s="104" t="s">
        <v>68</v>
      </c>
      <c r="C24" s="102" t="s">
        <v>45</v>
      </c>
      <c r="D24" s="102">
        <v>2</v>
      </c>
      <c r="E24" s="109">
        <v>0</v>
      </c>
      <c r="F24" s="109">
        <f t="shared" si="1"/>
        <v>0</v>
      </c>
    </row>
    <row r="25" spans="1:6" s="5" customFormat="1" ht="15" x14ac:dyDescent="0.25">
      <c r="A25" s="102"/>
      <c r="B25" s="104"/>
      <c r="C25" s="102"/>
      <c r="D25" s="102"/>
      <c r="E25" s="107"/>
      <c r="F25" s="107"/>
    </row>
    <row r="26" spans="1:6" s="5" customFormat="1" ht="15" x14ac:dyDescent="0.25">
      <c r="A26" s="105"/>
      <c r="B26" s="111" t="s">
        <v>36</v>
      </c>
      <c r="C26" s="102"/>
      <c r="D26" s="102"/>
      <c r="E26" s="109"/>
      <c r="F26" s="109"/>
    </row>
    <row r="27" spans="1:6" s="5" customFormat="1" ht="15" x14ac:dyDescent="0.25">
      <c r="A27" s="102" t="str">
        <f>A$19&amp;"."&amp;COUNTA(C$19:C27)</f>
        <v>5.1.4</v>
      </c>
      <c r="B27" s="104" t="s">
        <v>69</v>
      </c>
      <c r="C27" s="102" t="s">
        <v>45</v>
      </c>
      <c r="D27" s="102">
        <v>1</v>
      </c>
      <c r="E27" s="109">
        <v>0</v>
      </c>
      <c r="F27" s="109">
        <f t="shared" ref="F27" si="2">IFERROR(E27*D27,"")</f>
        <v>0</v>
      </c>
    </row>
    <row r="28" spans="1:6" s="5" customFormat="1" ht="15" x14ac:dyDescent="0.25">
      <c r="A28" s="102"/>
      <c r="B28" s="104"/>
      <c r="C28" s="102"/>
      <c r="D28" s="102"/>
      <c r="E28" s="107"/>
      <c r="F28" s="107"/>
    </row>
    <row r="29" spans="1:6" s="5" customFormat="1" ht="15" x14ac:dyDescent="0.25">
      <c r="A29" s="105"/>
      <c r="B29" s="111" t="s">
        <v>70</v>
      </c>
      <c r="C29" s="102"/>
      <c r="D29" s="102"/>
      <c r="E29" s="109"/>
      <c r="F29" s="109"/>
    </row>
    <row r="30" spans="1:6" s="5" customFormat="1" ht="15" x14ac:dyDescent="0.25">
      <c r="A30" s="102" t="str">
        <f>A$19&amp;"."&amp;COUNTA(C$19:C30)</f>
        <v>5.1.5</v>
      </c>
      <c r="B30" s="104" t="s">
        <v>71</v>
      </c>
      <c r="C30" s="102" t="s">
        <v>45</v>
      </c>
      <c r="D30" s="102">
        <v>1</v>
      </c>
      <c r="E30" s="109">
        <v>0</v>
      </c>
      <c r="F30" s="109">
        <f>IFERROR(E30*D30,"")</f>
        <v>0</v>
      </c>
    </row>
    <row r="31" spans="1:6" s="5" customFormat="1" ht="15" x14ac:dyDescent="0.25">
      <c r="A31" s="102" t="str">
        <f>A$19&amp;"."&amp;COUNTA(C$19:C31)</f>
        <v>5.1.6</v>
      </c>
      <c r="B31" s="104" t="s">
        <v>74</v>
      </c>
      <c r="C31" s="102" t="s">
        <v>45</v>
      </c>
      <c r="D31" s="102">
        <v>2</v>
      </c>
      <c r="E31" s="109">
        <v>0</v>
      </c>
      <c r="F31" s="109">
        <f>IFERROR(E31*D31,"")</f>
        <v>0</v>
      </c>
    </row>
    <row r="32" spans="1:6" s="5" customFormat="1" ht="15" x14ac:dyDescent="0.25">
      <c r="A32" s="102"/>
      <c r="B32" s="104"/>
      <c r="C32" s="102"/>
      <c r="D32" s="102"/>
      <c r="E32" s="109"/>
      <c r="F32" s="109"/>
    </row>
    <row r="33" spans="1:6" s="5" customFormat="1" ht="15" x14ac:dyDescent="0.25">
      <c r="A33" s="102"/>
      <c r="B33" s="106" t="s">
        <v>72</v>
      </c>
      <c r="C33" s="102"/>
      <c r="D33" s="102"/>
      <c r="E33" s="109"/>
      <c r="F33" s="109"/>
    </row>
    <row r="34" spans="1:6" s="5" customFormat="1" ht="30" x14ac:dyDescent="0.25">
      <c r="A34" s="102"/>
      <c r="B34" s="113" t="s">
        <v>73</v>
      </c>
      <c r="C34" s="102"/>
      <c r="D34" s="102"/>
      <c r="E34" s="109"/>
      <c r="F34" s="109"/>
    </row>
    <row r="35" spans="1:6" s="5" customFormat="1" ht="15" x14ac:dyDescent="0.25">
      <c r="A35" s="102" t="str">
        <f>A$19&amp;"."&amp;COUNTA(C$19:C35)</f>
        <v>5.1.7</v>
      </c>
      <c r="B35" s="104" t="s">
        <v>74</v>
      </c>
      <c r="C35" s="102" t="s">
        <v>45</v>
      </c>
      <c r="D35" s="102">
        <v>2</v>
      </c>
      <c r="E35" s="109">
        <v>0</v>
      </c>
      <c r="F35" s="109">
        <f t="shared" ref="F35" si="3">IFERROR(E35*D35,"")</f>
        <v>0</v>
      </c>
    </row>
    <row r="36" spans="1:6" s="5" customFormat="1" ht="15" x14ac:dyDescent="0.25">
      <c r="A36" s="112"/>
      <c r="B36" s="104"/>
      <c r="C36" s="102"/>
      <c r="D36" s="102"/>
      <c r="E36" s="109"/>
      <c r="F36" s="109"/>
    </row>
    <row r="37" spans="1:6" s="5" customFormat="1" ht="15" x14ac:dyDescent="0.25">
      <c r="A37" s="112"/>
      <c r="B37" s="104"/>
      <c r="C37" s="102"/>
      <c r="D37" s="102"/>
      <c r="E37" s="109"/>
      <c r="F37" s="109"/>
    </row>
    <row r="38" spans="1:6" s="5" customFormat="1" ht="15" x14ac:dyDescent="0.25">
      <c r="A38" s="112"/>
      <c r="B38" s="104"/>
      <c r="C38" s="102"/>
      <c r="D38" s="102"/>
      <c r="E38" s="109"/>
      <c r="F38" s="109"/>
    </row>
    <row r="39" spans="1:6" s="5" customFormat="1" ht="15" x14ac:dyDescent="0.25">
      <c r="A39" s="102"/>
      <c r="B39" s="104"/>
      <c r="C39" s="102"/>
      <c r="D39" s="102"/>
      <c r="E39" s="109"/>
      <c r="F39" s="109"/>
    </row>
    <row r="40" spans="1:6" s="5" customFormat="1" x14ac:dyDescent="0.25">
      <c r="A40" s="122"/>
      <c r="B40" s="21"/>
      <c r="C40" s="16"/>
      <c r="D40" s="16"/>
      <c r="E40" s="18"/>
      <c r="F40" s="120"/>
    </row>
    <row r="41" spans="1:6" s="5" customFormat="1" x14ac:dyDescent="0.25">
      <c r="A41" s="123"/>
      <c r="B41" s="70" t="s">
        <v>13</v>
      </c>
      <c r="C41" s="67"/>
      <c r="D41" s="67"/>
      <c r="E41" s="68"/>
      <c r="F41" s="124">
        <f>SUBTOTAL(9,F$4:F39)</f>
        <v>0</v>
      </c>
    </row>
    <row r="42" spans="1:6" s="5" customFormat="1" x14ac:dyDescent="0.25">
      <c r="A42" s="125"/>
      <c r="B42" s="71" t="s">
        <v>14</v>
      </c>
      <c r="C42" s="17"/>
      <c r="D42" s="17"/>
      <c r="E42" s="18"/>
      <c r="F42" s="124">
        <f>SUBTOTAL(9,F$4:F41)</f>
        <v>0</v>
      </c>
    </row>
    <row r="43" spans="1:6" s="5" customFormat="1" x14ac:dyDescent="0.25">
      <c r="A43" s="125"/>
      <c r="B43" s="22"/>
      <c r="C43" s="16"/>
      <c r="D43" s="16"/>
      <c r="E43" s="18"/>
      <c r="F43" s="126"/>
    </row>
    <row r="44" spans="1:6" s="5" customFormat="1" ht="15" x14ac:dyDescent="0.25">
      <c r="A44" s="105">
        <f>A19+1</f>
        <v>6.1</v>
      </c>
      <c r="B44" s="106" t="s">
        <v>53</v>
      </c>
      <c r="C44" s="102"/>
      <c r="D44" s="102"/>
      <c r="E44" s="109"/>
      <c r="F44" s="109"/>
    </row>
    <row r="45" spans="1:6" s="5" customFormat="1" ht="60" x14ac:dyDescent="0.25">
      <c r="A45" s="102"/>
      <c r="B45" s="108" t="s">
        <v>54</v>
      </c>
      <c r="C45" s="102"/>
      <c r="D45" s="102"/>
      <c r="E45" s="109"/>
      <c r="F45" s="109"/>
    </row>
    <row r="46" spans="1:6" s="5" customFormat="1" ht="30" x14ac:dyDescent="0.25">
      <c r="A46" s="102"/>
      <c r="B46" s="103" t="s">
        <v>55</v>
      </c>
      <c r="C46" s="102"/>
      <c r="D46" s="102"/>
      <c r="E46" s="109"/>
      <c r="F46" s="109"/>
    </row>
    <row r="47" spans="1:6" s="5" customFormat="1" ht="15" x14ac:dyDescent="0.25">
      <c r="A47" s="102" t="str">
        <f>A$44&amp;"."&amp;COUNTA(C$44:C47)</f>
        <v>6.1.1</v>
      </c>
      <c r="B47" s="103" t="s">
        <v>56</v>
      </c>
      <c r="C47" s="102" t="s">
        <v>45</v>
      </c>
      <c r="D47" s="102">
        <v>4</v>
      </c>
      <c r="E47" s="109">
        <v>0</v>
      </c>
      <c r="F47" s="109">
        <f t="shared" ref="F47:F49" si="4">IFERROR(E47*D47,"")</f>
        <v>0</v>
      </c>
    </row>
    <row r="48" spans="1:6" s="5" customFormat="1" ht="15" x14ac:dyDescent="0.25">
      <c r="A48" s="102" t="str">
        <f>A$44&amp;"."&amp;COUNTA(C$44:C48)</f>
        <v>6.1.2</v>
      </c>
      <c r="B48" s="103" t="s">
        <v>57</v>
      </c>
      <c r="C48" s="102" t="s">
        <v>45</v>
      </c>
      <c r="D48" s="102">
        <v>3</v>
      </c>
      <c r="E48" s="109">
        <v>0</v>
      </c>
      <c r="F48" s="109">
        <f t="shared" si="4"/>
        <v>0</v>
      </c>
    </row>
    <row r="49" spans="1:6" s="5" customFormat="1" ht="15" x14ac:dyDescent="0.25">
      <c r="A49" s="102" t="str">
        <f>A$44&amp;"."&amp;COUNTA(C$44:C49)</f>
        <v>6.1.3</v>
      </c>
      <c r="B49" s="103" t="s">
        <v>58</v>
      </c>
      <c r="C49" s="102" t="s">
        <v>45</v>
      </c>
      <c r="D49" s="102">
        <v>1</v>
      </c>
      <c r="E49" s="109">
        <v>0</v>
      </c>
      <c r="F49" s="109">
        <f t="shared" si="4"/>
        <v>0</v>
      </c>
    </row>
    <row r="50" spans="1:6" s="5" customFormat="1" ht="15" x14ac:dyDescent="0.25">
      <c r="A50" s="102"/>
      <c r="B50" s="103"/>
      <c r="C50" s="102"/>
      <c r="D50" s="102"/>
      <c r="E50" s="109"/>
      <c r="F50" s="109"/>
    </row>
    <row r="51" spans="1:6" s="5" customFormat="1" ht="30" x14ac:dyDescent="0.25">
      <c r="A51" s="102"/>
      <c r="B51" s="103" t="s">
        <v>59</v>
      </c>
      <c r="C51" s="102"/>
      <c r="D51" s="102"/>
      <c r="E51" s="109"/>
      <c r="F51" s="109"/>
    </row>
    <row r="52" spans="1:6" s="5" customFormat="1" ht="15" x14ac:dyDescent="0.25">
      <c r="A52" s="102" t="str">
        <f>A$44&amp;"."&amp;COUNTA(C$44:C52)</f>
        <v>6.1.4</v>
      </c>
      <c r="B52" s="103" t="s">
        <v>60</v>
      </c>
      <c r="C52" s="102" t="s">
        <v>45</v>
      </c>
      <c r="D52" s="102">
        <v>4</v>
      </c>
      <c r="E52" s="109">
        <v>0</v>
      </c>
      <c r="F52" s="109">
        <f t="shared" ref="F52" si="5">IFERROR(E52*D52,"")</f>
        <v>0</v>
      </c>
    </row>
    <row r="53" spans="1:6" s="5" customFormat="1" ht="15" x14ac:dyDescent="0.25">
      <c r="A53" s="102"/>
      <c r="B53" s="103"/>
      <c r="C53" s="102"/>
      <c r="D53" s="102"/>
      <c r="E53" s="109"/>
      <c r="F53" s="109"/>
    </row>
    <row r="54" spans="1:6" s="5" customFormat="1" ht="30" x14ac:dyDescent="0.25">
      <c r="A54" s="102"/>
      <c r="B54" s="103" t="s">
        <v>76</v>
      </c>
      <c r="C54" s="102"/>
      <c r="D54" s="102"/>
      <c r="E54" s="109"/>
      <c r="F54" s="109"/>
    </row>
    <row r="55" spans="1:6" s="5" customFormat="1" ht="15" x14ac:dyDescent="0.25">
      <c r="A55" s="102" t="str">
        <f>A$44&amp;"."&amp;COUNTA(C$44:C55)</f>
        <v>6.1.5</v>
      </c>
      <c r="B55" s="103" t="s">
        <v>75</v>
      </c>
      <c r="C55" s="102" t="s">
        <v>45</v>
      </c>
      <c r="D55" s="102">
        <v>1</v>
      </c>
      <c r="E55" s="109">
        <v>0</v>
      </c>
      <c r="F55" s="109">
        <f t="shared" ref="F55" si="6">IFERROR(E55*D55,"")</f>
        <v>0</v>
      </c>
    </row>
    <row r="56" spans="1:6" s="5" customFormat="1" ht="12.75" x14ac:dyDescent="0.25">
      <c r="A56" s="127"/>
      <c r="B56" s="74"/>
      <c r="C56" s="17"/>
      <c r="D56" s="16"/>
      <c r="E56" s="80"/>
      <c r="F56" s="128"/>
    </row>
    <row r="57" spans="1:6" s="5" customFormat="1" ht="12.75" x14ac:dyDescent="0.25">
      <c r="A57" s="127"/>
      <c r="B57" s="74"/>
      <c r="C57" s="17"/>
      <c r="D57" s="16"/>
      <c r="E57" s="80"/>
      <c r="F57" s="128"/>
    </row>
    <row r="58" spans="1:6" s="5" customFormat="1" ht="12.75" x14ac:dyDescent="0.25">
      <c r="A58" s="127"/>
      <c r="B58" s="74"/>
      <c r="C58" s="17"/>
      <c r="D58" s="16"/>
      <c r="E58" s="80"/>
      <c r="F58" s="128"/>
    </row>
    <row r="59" spans="1:6" s="5" customFormat="1" ht="12.75" x14ac:dyDescent="0.25">
      <c r="A59" s="127"/>
      <c r="B59" s="74"/>
      <c r="C59" s="17"/>
      <c r="D59" s="16"/>
      <c r="E59" s="80"/>
      <c r="F59" s="128"/>
    </row>
    <row r="60" spans="1:6" s="5" customFormat="1" ht="12.75" x14ac:dyDescent="0.25">
      <c r="A60" s="127"/>
      <c r="B60" s="74"/>
      <c r="C60" s="17"/>
      <c r="D60" s="16"/>
      <c r="E60" s="80"/>
      <c r="F60" s="128"/>
    </row>
    <row r="61" spans="1:6" s="5" customFormat="1" ht="12.75" x14ac:dyDescent="0.25">
      <c r="A61" s="127"/>
      <c r="B61" s="74"/>
      <c r="C61" s="17"/>
      <c r="D61" s="16"/>
      <c r="E61" s="80"/>
      <c r="F61" s="128"/>
    </row>
    <row r="62" spans="1:6" s="5" customFormat="1" ht="12.75" x14ac:dyDescent="0.25">
      <c r="A62" s="127"/>
      <c r="B62" s="74"/>
      <c r="C62" s="17"/>
      <c r="D62" s="16"/>
      <c r="E62" s="80"/>
      <c r="F62" s="128"/>
    </row>
    <row r="63" spans="1:6" s="5" customFormat="1" ht="12.75" x14ac:dyDescent="0.25">
      <c r="A63" s="127"/>
      <c r="B63" s="74"/>
      <c r="C63" s="17"/>
      <c r="D63" s="16"/>
      <c r="E63" s="80"/>
      <c r="F63" s="128"/>
    </row>
    <row r="64" spans="1:6" s="5" customFormat="1" ht="12.75" x14ac:dyDescent="0.25">
      <c r="A64" s="127"/>
      <c r="B64" s="74"/>
      <c r="C64" s="17"/>
      <c r="D64" s="16"/>
      <c r="E64" s="80"/>
      <c r="F64" s="128"/>
    </row>
    <row r="65" spans="1:6" s="5" customFormat="1" ht="12.75" x14ac:dyDescent="0.25">
      <c r="A65" s="127"/>
      <c r="B65" s="74"/>
      <c r="C65" s="17"/>
      <c r="D65" s="16"/>
      <c r="E65" s="80"/>
      <c r="F65" s="128"/>
    </row>
    <row r="66" spans="1:6" s="5" customFormat="1" ht="12.75" x14ac:dyDescent="0.25">
      <c r="A66" s="127"/>
      <c r="B66" s="74"/>
      <c r="C66" s="17"/>
      <c r="D66" s="16"/>
      <c r="E66" s="80"/>
      <c r="F66" s="128"/>
    </row>
    <row r="67" spans="1:6" s="5" customFormat="1" ht="12.75" x14ac:dyDescent="0.25">
      <c r="A67" s="127"/>
      <c r="B67" s="74"/>
      <c r="C67" s="17"/>
      <c r="D67" s="16"/>
      <c r="E67" s="80"/>
      <c r="F67" s="128"/>
    </row>
    <row r="68" spans="1:6" s="5" customFormat="1" ht="12.75" x14ac:dyDescent="0.25">
      <c r="A68" s="127"/>
      <c r="B68" s="74"/>
      <c r="C68" s="17"/>
      <c r="D68" s="16"/>
      <c r="E68" s="80"/>
      <c r="F68" s="128"/>
    </row>
    <row r="69" spans="1:6" s="5" customFormat="1" ht="12.75" x14ac:dyDescent="0.25">
      <c r="A69" s="127"/>
      <c r="B69" s="74"/>
      <c r="C69" s="17"/>
      <c r="D69" s="16"/>
      <c r="E69" s="80"/>
      <c r="F69" s="128"/>
    </row>
    <row r="70" spans="1:6" s="5" customFormat="1" ht="12.75" x14ac:dyDescent="0.25">
      <c r="A70" s="127"/>
      <c r="B70" s="74"/>
      <c r="C70" s="17"/>
      <c r="D70" s="16"/>
      <c r="E70" s="80"/>
      <c r="F70" s="128"/>
    </row>
    <row r="71" spans="1:6" s="5" customFormat="1" ht="12.75" x14ac:dyDescent="0.25">
      <c r="A71" s="127"/>
      <c r="B71" s="74"/>
      <c r="C71" s="17"/>
      <c r="D71" s="16"/>
      <c r="E71" s="80"/>
      <c r="F71" s="128"/>
    </row>
    <row r="72" spans="1:6" s="5" customFormat="1" ht="12.75" x14ac:dyDescent="0.25">
      <c r="A72" s="127"/>
      <c r="B72" s="74"/>
      <c r="C72" s="17"/>
      <c r="D72" s="16"/>
      <c r="E72" s="80"/>
      <c r="F72" s="128"/>
    </row>
    <row r="73" spans="1:6" s="5" customFormat="1" ht="12.75" x14ac:dyDescent="0.25">
      <c r="A73" s="127"/>
      <c r="B73" s="74"/>
      <c r="C73" s="17"/>
      <c r="D73" s="16"/>
      <c r="E73" s="80"/>
      <c r="F73" s="128"/>
    </row>
    <row r="74" spans="1:6" s="5" customFormat="1" ht="12.75" x14ac:dyDescent="0.25">
      <c r="A74" s="127"/>
      <c r="B74" s="74"/>
      <c r="C74" s="17"/>
      <c r="D74" s="16"/>
      <c r="E74" s="80"/>
      <c r="F74" s="128"/>
    </row>
    <row r="75" spans="1:6" s="5" customFormat="1" ht="12.75" x14ac:dyDescent="0.25">
      <c r="A75" s="127"/>
      <c r="B75" s="74"/>
      <c r="C75" s="17"/>
      <c r="D75" s="16"/>
      <c r="E75" s="80"/>
      <c r="F75" s="128"/>
    </row>
    <row r="76" spans="1:6" s="5" customFormat="1" ht="12.75" x14ac:dyDescent="0.25">
      <c r="A76" s="127"/>
      <c r="B76" s="74"/>
      <c r="C76" s="17"/>
      <c r="D76" s="16"/>
      <c r="E76" s="80"/>
      <c r="F76" s="128"/>
    </row>
    <row r="77" spans="1:6" s="5" customFormat="1" ht="12.75" x14ac:dyDescent="0.25">
      <c r="A77" s="127"/>
      <c r="B77" s="74"/>
      <c r="C77" s="17"/>
      <c r="D77" s="16"/>
      <c r="E77" s="80"/>
      <c r="F77" s="128"/>
    </row>
    <row r="78" spans="1:6" s="5" customFormat="1" ht="12.75" x14ac:dyDescent="0.25">
      <c r="A78" s="127"/>
      <c r="B78" s="74"/>
      <c r="C78" s="17"/>
      <c r="D78" s="16"/>
      <c r="E78" s="80"/>
      <c r="F78" s="128"/>
    </row>
    <row r="79" spans="1:6" s="5" customFormat="1" ht="12.75" x14ac:dyDescent="0.25">
      <c r="A79" s="127"/>
      <c r="B79" s="74"/>
      <c r="C79" s="17"/>
      <c r="D79" s="16"/>
      <c r="E79" s="80"/>
      <c r="F79" s="128"/>
    </row>
    <row r="80" spans="1:6" s="5" customFormat="1" ht="12.75" x14ac:dyDescent="0.25">
      <c r="A80" s="127"/>
      <c r="B80" s="74"/>
      <c r="C80" s="17"/>
      <c r="D80" s="16"/>
      <c r="E80" s="80"/>
      <c r="F80" s="128"/>
    </row>
    <row r="81" spans="1:6" s="5" customFormat="1" ht="12.75" x14ac:dyDescent="0.25">
      <c r="A81" s="127"/>
      <c r="B81" s="74"/>
      <c r="C81" s="17"/>
      <c r="D81" s="16"/>
      <c r="E81" s="80"/>
      <c r="F81" s="128"/>
    </row>
    <row r="82" spans="1:6" s="5" customFormat="1" ht="12.75" x14ac:dyDescent="0.25">
      <c r="A82" s="127"/>
      <c r="B82" s="74"/>
      <c r="C82" s="17"/>
      <c r="D82" s="16"/>
      <c r="E82" s="80"/>
      <c r="F82" s="128"/>
    </row>
    <row r="83" spans="1:6" s="5" customFormat="1" ht="12.75" x14ac:dyDescent="0.25">
      <c r="A83" s="127"/>
      <c r="B83" s="74"/>
      <c r="C83" s="17"/>
      <c r="D83" s="16"/>
      <c r="E83" s="80"/>
      <c r="F83" s="128"/>
    </row>
    <row r="84" spans="1:6" s="5" customFormat="1" ht="12.75" x14ac:dyDescent="0.25">
      <c r="A84" s="127"/>
      <c r="B84" s="74"/>
      <c r="C84" s="17"/>
      <c r="D84" s="16"/>
      <c r="E84" s="80"/>
      <c r="F84" s="128"/>
    </row>
    <row r="85" spans="1:6" s="5" customFormat="1" ht="12.75" x14ac:dyDescent="0.25">
      <c r="A85" s="127"/>
      <c r="B85" s="74"/>
      <c r="C85" s="17"/>
      <c r="D85" s="16"/>
      <c r="E85" s="80"/>
      <c r="F85" s="128"/>
    </row>
    <row r="86" spans="1:6" s="5" customFormat="1" ht="12.75" x14ac:dyDescent="0.25">
      <c r="A86" s="127"/>
      <c r="B86" s="74"/>
      <c r="C86" s="17"/>
      <c r="D86" s="16"/>
      <c r="E86" s="80"/>
      <c r="F86" s="128"/>
    </row>
    <row r="87" spans="1:6" s="5" customFormat="1" ht="12.75" x14ac:dyDescent="0.25">
      <c r="A87" s="127"/>
      <c r="B87" s="74"/>
      <c r="C87" s="17"/>
      <c r="D87" s="16"/>
      <c r="E87" s="80"/>
      <c r="F87" s="128"/>
    </row>
    <row r="88" spans="1:6" s="5" customFormat="1" ht="12.75" x14ac:dyDescent="0.25">
      <c r="A88" s="127"/>
      <c r="B88" s="74"/>
      <c r="C88" s="17"/>
      <c r="D88" s="16"/>
      <c r="E88" s="80"/>
      <c r="F88" s="128"/>
    </row>
    <row r="89" spans="1:6" s="5" customFormat="1" ht="12.75" x14ac:dyDescent="0.25">
      <c r="A89" s="129"/>
      <c r="B89" s="130"/>
      <c r="C89" s="131"/>
      <c r="D89" s="132"/>
      <c r="E89" s="133"/>
      <c r="F89" s="134"/>
    </row>
    <row r="90" spans="1:6" s="5" customFormat="1" ht="12.75" x14ac:dyDescent="0.25">
      <c r="A90" s="135"/>
      <c r="B90" s="136"/>
      <c r="C90" s="137"/>
      <c r="D90" s="137"/>
      <c r="E90" s="137"/>
      <c r="F90" s="138"/>
    </row>
    <row r="91" spans="1:6" s="5" customFormat="1" ht="12.75" x14ac:dyDescent="0.25">
      <c r="A91" s="139"/>
      <c r="B91" s="155" t="s">
        <v>35</v>
      </c>
      <c r="C91" s="155"/>
      <c r="D91" s="155"/>
      <c r="E91" s="156"/>
      <c r="F91" s="140">
        <f>SUM(F44:F89)</f>
        <v>0</v>
      </c>
    </row>
    <row r="92" spans="1:6" s="5" customFormat="1" ht="12.75" x14ac:dyDescent="0.25">
      <c r="A92" s="141"/>
      <c r="B92" s="19"/>
      <c r="C92" s="142"/>
      <c r="D92" s="142"/>
      <c r="E92" s="142"/>
      <c r="F92" s="143"/>
    </row>
    <row r="93" spans="1:6" s="5" customFormat="1" x14ac:dyDescent="0.25">
      <c r="A93" s="1"/>
      <c r="B93" s="4"/>
      <c r="C93" s="1"/>
      <c r="D93" s="3"/>
      <c r="E93" s="2"/>
      <c r="F93" s="73"/>
    </row>
    <row r="94" spans="1:6" s="5" customFormat="1" x14ac:dyDescent="0.25">
      <c r="A94" s="1"/>
      <c r="B94" s="4"/>
      <c r="C94" s="1"/>
      <c r="D94" s="3"/>
      <c r="E94" s="2"/>
      <c r="F94" s="73"/>
    </row>
    <row r="95" spans="1:6" s="5" customFormat="1" x14ac:dyDescent="0.25">
      <c r="A95" s="1"/>
      <c r="B95" s="4"/>
      <c r="C95" s="1"/>
      <c r="D95" s="3"/>
      <c r="E95" s="2"/>
      <c r="F95" s="73"/>
    </row>
    <row r="96" spans="1:6" s="5" customFormat="1" x14ac:dyDescent="0.25">
      <c r="A96" s="1"/>
      <c r="B96" s="4"/>
      <c r="C96" s="1"/>
      <c r="D96" s="3"/>
      <c r="E96" s="2"/>
      <c r="F96" s="73"/>
    </row>
    <row r="97" spans="1:6" s="5" customFormat="1" x14ac:dyDescent="0.25">
      <c r="A97" s="1"/>
      <c r="B97" s="4"/>
      <c r="C97" s="1"/>
      <c r="D97" s="3"/>
      <c r="E97" s="2"/>
      <c r="F97" s="73"/>
    </row>
    <row r="98" spans="1:6" s="5" customFormat="1" x14ac:dyDescent="0.25">
      <c r="A98" s="1"/>
      <c r="B98" s="4"/>
      <c r="C98" s="1"/>
      <c r="D98" s="3"/>
      <c r="E98" s="2"/>
      <c r="F98" s="73"/>
    </row>
    <row r="99" spans="1:6" s="5" customFormat="1" x14ac:dyDescent="0.25">
      <c r="A99" s="1"/>
      <c r="B99" s="4"/>
      <c r="C99" s="1"/>
      <c r="D99" s="3"/>
      <c r="E99" s="2"/>
      <c r="F99" s="73"/>
    </row>
    <row r="100" spans="1:6" s="5" customFormat="1" x14ac:dyDescent="0.25">
      <c r="A100" s="1"/>
      <c r="B100" s="4"/>
      <c r="C100" s="1"/>
      <c r="D100" s="3"/>
      <c r="E100" s="2"/>
      <c r="F100" s="73"/>
    </row>
    <row r="101" spans="1:6" s="5" customFormat="1" x14ac:dyDescent="0.25">
      <c r="A101" s="1"/>
      <c r="B101" s="4"/>
      <c r="C101" s="1"/>
      <c r="D101" s="3"/>
      <c r="E101" s="2"/>
      <c r="F101" s="73"/>
    </row>
    <row r="102" spans="1:6" s="5" customFormat="1" x14ac:dyDescent="0.25">
      <c r="A102" s="1"/>
      <c r="B102" s="4"/>
      <c r="C102" s="1"/>
      <c r="D102" s="3"/>
      <c r="E102" s="2"/>
      <c r="F102" s="73"/>
    </row>
    <row r="103" spans="1:6" s="5" customFormat="1" x14ac:dyDescent="0.25">
      <c r="A103" s="1"/>
      <c r="B103" s="4"/>
      <c r="C103" s="1"/>
      <c r="D103" s="3"/>
      <c r="E103" s="2"/>
      <c r="F103" s="73"/>
    </row>
    <row r="104" spans="1:6" s="5" customFormat="1" x14ac:dyDescent="0.25">
      <c r="A104" s="1"/>
      <c r="B104" s="4"/>
      <c r="C104" s="1"/>
      <c r="D104" s="3"/>
      <c r="E104" s="2"/>
      <c r="F104" s="73"/>
    </row>
    <row r="105" spans="1:6" s="5" customFormat="1" x14ac:dyDescent="0.25">
      <c r="A105" s="1"/>
      <c r="B105" s="4"/>
      <c r="C105" s="1"/>
      <c r="D105" s="3"/>
      <c r="E105" s="2"/>
      <c r="F105" s="73"/>
    </row>
    <row r="106" spans="1:6" s="5" customFormat="1" x14ac:dyDescent="0.25">
      <c r="A106" s="1"/>
      <c r="B106" s="4"/>
      <c r="C106" s="1"/>
      <c r="D106" s="3"/>
      <c r="E106" s="2"/>
      <c r="F106" s="73"/>
    </row>
    <row r="107" spans="1:6" s="5" customFormat="1" x14ac:dyDescent="0.25">
      <c r="A107" s="1"/>
      <c r="B107" s="4"/>
      <c r="C107" s="1"/>
      <c r="D107" s="3"/>
      <c r="E107" s="2"/>
      <c r="F107" s="73"/>
    </row>
    <row r="108" spans="1:6" s="5" customFormat="1" x14ac:dyDescent="0.25">
      <c r="A108" s="1"/>
      <c r="B108" s="4"/>
      <c r="C108" s="1"/>
      <c r="D108" s="3"/>
      <c r="E108" s="2"/>
      <c r="F108" s="73"/>
    </row>
    <row r="109" spans="1:6" s="5" customFormat="1" x14ac:dyDescent="0.25">
      <c r="A109" s="1"/>
      <c r="B109" s="4"/>
      <c r="C109" s="1"/>
      <c r="D109" s="3"/>
      <c r="E109" s="2"/>
      <c r="F109" s="73"/>
    </row>
    <row r="110" spans="1:6" s="5" customFormat="1" x14ac:dyDescent="0.25">
      <c r="A110" s="1"/>
      <c r="B110" s="4"/>
      <c r="C110" s="1"/>
      <c r="D110" s="3"/>
      <c r="E110" s="2"/>
      <c r="F110" s="73"/>
    </row>
    <row r="111" spans="1:6" s="5" customFormat="1" x14ac:dyDescent="0.25">
      <c r="A111" s="1"/>
      <c r="B111" s="4"/>
      <c r="C111" s="1"/>
      <c r="D111" s="3"/>
      <c r="E111" s="2"/>
      <c r="F111" s="73"/>
    </row>
    <row r="112" spans="1:6" s="5" customFormat="1" x14ac:dyDescent="0.25">
      <c r="A112" s="1"/>
      <c r="B112" s="4"/>
      <c r="C112" s="1"/>
      <c r="D112" s="3"/>
      <c r="E112" s="2"/>
      <c r="F112" s="73"/>
    </row>
    <row r="113" spans="1:7" s="5" customFormat="1" x14ac:dyDescent="0.25">
      <c r="A113" s="1"/>
      <c r="B113" s="4"/>
      <c r="C113" s="1"/>
      <c r="D113" s="3"/>
      <c r="E113" s="2"/>
      <c r="F113" s="73"/>
    </row>
    <row r="114" spans="1:7" s="5" customFormat="1" x14ac:dyDescent="0.25">
      <c r="A114" s="1"/>
      <c r="B114" s="4"/>
      <c r="C114" s="1"/>
      <c r="D114" s="3"/>
      <c r="E114" s="2"/>
      <c r="F114" s="73"/>
    </row>
    <row r="115" spans="1:7" s="5" customFormat="1" x14ac:dyDescent="0.25">
      <c r="A115" s="1"/>
      <c r="B115" s="4"/>
      <c r="C115" s="1"/>
      <c r="D115" s="3"/>
      <c r="E115" s="2"/>
      <c r="F115" s="73"/>
    </row>
    <row r="116" spans="1:7" s="5" customFormat="1" x14ac:dyDescent="0.25">
      <c r="A116" s="1"/>
      <c r="B116" s="4"/>
      <c r="C116" s="1"/>
      <c r="D116" s="3"/>
      <c r="E116" s="2"/>
      <c r="F116" s="73"/>
    </row>
    <row r="117" spans="1:7" s="5" customFormat="1" x14ac:dyDescent="0.25">
      <c r="A117" s="1"/>
      <c r="B117" s="4"/>
      <c r="C117" s="1"/>
      <c r="D117" s="3"/>
      <c r="E117" s="2"/>
      <c r="F117" s="73"/>
    </row>
    <row r="118" spans="1:7" s="5" customFormat="1" x14ac:dyDescent="0.25">
      <c r="A118" s="1"/>
      <c r="B118" s="4"/>
      <c r="C118" s="1"/>
      <c r="D118" s="3"/>
      <c r="E118" s="2"/>
      <c r="F118" s="73"/>
    </row>
    <row r="119" spans="1:7" s="5" customFormat="1" x14ac:dyDescent="0.25">
      <c r="A119" s="1"/>
      <c r="B119" s="4"/>
      <c r="C119" s="1"/>
      <c r="D119" s="3"/>
      <c r="E119" s="2"/>
      <c r="F119" s="73"/>
    </row>
    <row r="120" spans="1:7" s="5" customFormat="1" x14ac:dyDescent="0.25">
      <c r="A120" s="1"/>
      <c r="B120" s="4"/>
      <c r="C120" s="1"/>
      <c r="D120" s="3"/>
      <c r="E120" s="2"/>
      <c r="F120" s="73"/>
    </row>
    <row r="121" spans="1:7" s="5" customFormat="1" x14ac:dyDescent="0.25">
      <c r="A121" s="1"/>
      <c r="B121" s="4"/>
      <c r="C121" s="1"/>
      <c r="D121" s="3"/>
      <c r="E121" s="2"/>
      <c r="F121" s="73"/>
    </row>
    <row r="122" spans="1:7" s="5" customFormat="1" x14ac:dyDescent="0.25">
      <c r="A122" s="1"/>
      <c r="B122" s="4"/>
      <c r="C122" s="1"/>
      <c r="D122" s="3"/>
      <c r="E122" s="2"/>
      <c r="F122" s="73"/>
    </row>
    <row r="123" spans="1:7" s="5" customFormat="1" x14ac:dyDescent="0.25">
      <c r="A123" s="1"/>
      <c r="B123" s="4"/>
      <c r="C123" s="1"/>
      <c r="D123" s="3"/>
      <c r="E123" s="2"/>
      <c r="F123" s="73"/>
    </row>
    <row r="124" spans="1:7" s="5" customFormat="1" x14ac:dyDescent="0.25">
      <c r="A124" s="1"/>
      <c r="B124" s="4"/>
      <c r="C124" s="1"/>
      <c r="D124" s="3"/>
      <c r="E124" s="2"/>
      <c r="F124" s="73"/>
    </row>
    <row r="125" spans="1:7" s="5" customFormat="1" x14ac:dyDescent="0.25">
      <c r="A125" s="1"/>
      <c r="B125" s="4"/>
      <c r="C125" s="1"/>
      <c r="D125" s="3"/>
      <c r="E125" s="2"/>
      <c r="F125" s="73"/>
      <c r="G125" s="6"/>
    </row>
    <row r="126" spans="1:7" s="5" customFormat="1" x14ac:dyDescent="0.25">
      <c r="A126" s="1"/>
      <c r="B126" s="4"/>
      <c r="C126" s="1"/>
      <c r="D126" s="3"/>
      <c r="E126" s="2"/>
      <c r="F126" s="73"/>
      <c r="G126" s="7"/>
    </row>
    <row r="127" spans="1:7" s="5" customFormat="1" x14ac:dyDescent="0.25">
      <c r="A127" s="1"/>
      <c r="B127" s="4"/>
      <c r="C127" s="1"/>
      <c r="D127" s="3"/>
      <c r="E127" s="2"/>
      <c r="F127" s="73"/>
      <c r="G127" s="6"/>
    </row>
    <row r="128" spans="1:7" s="5" customFormat="1" x14ac:dyDescent="0.25">
      <c r="A128" s="1"/>
      <c r="B128" s="4"/>
      <c r="C128" s="1"/>
      <c r="D128" s="3"/>
      <c r="E128" s="2"/>
      <c r="F128" s="73"/>
      <c r="G128" s="6"/>
    </row>
    <row r="129" spans="1:7" s="5" customFormat="1" x14ac:dyDescent="0.25">
      <c r="A129" s="1"/>
      <c r="B129" s="4"/>
      <c r="C129" s="1"/>
      <c r="D129" s="3"/>
      <c r="E129" s="2"/>
      <c r="F129" s="73"/>
      <c r="G129" s="6"/>
    </row>
    <row r="130" spans="1:7" s="5" customFormat="1" ht="15" x14ac:dyDescent="0.25">
      <c r="A130" s="1"/>
      <c r="B130" s="4"/>
      <c r="C130" s="1"/>
      <c r="D130" s="3"/>
      <c r="E130" s="2"/>
      <c r="F130" s="73"/>
      <c r="G130" s="8"/>
    </row>
    <row r="131" spans="1:7" s="5" customFormat="1" x14ac:dyDescent="0.25">
      <c r="A131" s="1"/>
      <c r="B131" s="4"/>
      <c r="C131" s="1"/>
      <c r="D131" s="3"/>
      <c r="E131" s="2"/>
      <c r="F131" s="73"/>
    </row>
    <row r="132" spans="1:7" s="5" customFormat="1" ht="15" x14ac:dyDescent="0.25">
      <c r="A132" s="1"/>
      <c r="B132" s="4"/>
      <c r="C132" s="1"/>
      <c r="D132" s="3"/>
      <c r="E132" s="2"/>
      <c r="F132" s="73"/>
      <c r="G132" s="8"/>
    </row>
    <row r="133" spans="1:7" s="5" customFormat="1" ht="15" x14ac:dyDescent="0.25">
      <c r="A133" s="1"/>
      <c r="B133" s="4"/>
      <c r="C133" s="1"/>
      <c r="D133" s="3"/>
      <c r="E133" s="2"/>
      <c r="F133" s="73"/>
      <c r="G133" s="8"/>
    </row>
    <row r="134" spans="1:7" s="5" customFormat="1" x14ac:dyDescent="0.25">
      <c r="A134" s="1"/>
      <c r="B134" s="4"/>
      <c r="C134" s="1"/>
      <c r="D134" s="3"/>
      <c r="E134" s="2"/>
      <c r="F134" s="73"/>
      <c r="G134" s="7"/>
    </row>
    <row r="135" spans="1:7" s="5" customFormat="1" ht="15" x14ac:dyDescent="0.25">
      <c r="A135" s="1"/>
      <c r="B135" s="4"/>
      <c r="C135" s="1"/>
      <c r="D135" s="3"/>
      <c r="E135" s="2"/>
      <c r="F135" s="73"/>
      <c r="G135" s="8"/>
    </row>
    <row r="136" spans="1:7" s="5" customFormat="1" ht="15" x14ac:dyDescent="0.25">
      <c r="A136" s="1"/>
      <c r="B136" s="4"/>
      <c r="C136" s="1"/>
      <c r="D136" s="3"/>
      <c r="E136" s="2"/>
      <c r="F136" s="73"/>
      <c r="G136" s="8"/>
    </row>
    <row r="137" spans="1:7" s="5" customFormat="1" ht="15" x14ac:dyDescent="0.25">
      <c r="A137" s="1"/>
      <c r="B137" s="4"/>
      <c r="C137" s="1"/>
      <c r="D137" s="3"/>
      <c r="E137" s="2"/>
      <c r="F137" s="73"/>
      <c r="G137" s="8"/>
    </row>
    <row r="138" spans="1:7" s="5" customFormat="1" ht="15" x14ac:dyDescent="0.25">
      <c r="A138" s="1"/>
      <c r="B138" s="4"/>
      <c r="C138" s="1"/>
      <c r="D138" s="3"/>
      <c r="E138" s="2"/>
      <c r="F138" s="73"/>
      <c r="G138" s="8"/>
    </row>
    <row r="139" spans="1:7" s="5" customFormat="1" ht="15" x14ac:dyDescent="0.25">
      <c r="A139" s="1"/>
      <c r="B139" s="4"/>
      <c r="C139" s="1"/>
      <c r="D139" s="3"/>
      <c r="E139" s="2"/>
      <c r="F139" s="73"/>
      <c r="G139" s="8"/>
    </row>
    <row r="140" spans="1:7" s="5" customFormat="1" ht="15" x14ac:dyDescent="0.25">
      <c r="A140" s="1"/>
      <c r="B140" s="4"/>
      <c r="C140" s="1"/>
      <c r="D140" s="3"/>
      <c r="E140" s="2"/>
      <c r="F140" s="73"/>
      <c r="G140" s="8"/>
    </row>
    <row r="141" spans="1:7" s="5" customFormat="1" ht="15" x14ac:dyDescent="0.25">
      <c r="A141" s="1"/>
      <c r="B141" s="4"/>
      <c r="C141" s="1"/>
      <c r="D141" s="3"/>
      <c r="E141" s="2"/>
      <c r="F141" s="73"/>
      <c r="G141" s="8"/>
    </row>
    <row r="142" spans="1:7" s="5" customFormat="1" ht="15" x14ac:dyDescent="0.25">
      <c r="A142" s="1"/>
      <c r="B142" s="4"/>
      <c r="C142" s="1"/>
      <c r="D142" s="3"/>
      <c r="E142" s="2"/>
      <c r="F142" s="73"/>
      <c r="G142" s="8"/>
    </row>
    <row r="143" spans="1:7" s="5" customFormat="1" ht="15" x14ac:dyDescent="0.25">
      <c r="A143" s="1"/>
      <c r="B143" s="4"/>
      <c r="C143" s="1"/>
      <c r="D143" s="3"/>
      <c r="E143" s="2"/>
      <c r="F143" s="73"/>
      <c r="G143" s="8"/>
    </row>
    <row r="144" spans="1:7" s="5" customFormat="1" ht="15" x14ac:dyDescent="0.25">
      <c r="A144" s="1"/>
      <c r="B144" s="4"/>
      <c r="C144" s="1"/>
      <c r="D144" s="3"/>
      <c r="E144" s="2"/>
      <c r="F144" s="73"/>
      <c r="G144" s="8"/>
    </row>
    <row r="145" spans="1:7" s="5" customFormat="1" ht="15" x14ac:dyDescent="0.25">
      <c r="A145" s="1"/>
      <c r="B145" s="4"/>
      <c r="C145" s="1"/>
      <c r="D145" s="3"/>
      <c r="E145" s="2"/>
      <c r="F145" s="73"/>
      <c r="G145" s="8"/>
    </row>
    <row r="146" spans="1:7" s="5" customFormat="1" ht="15" x14ac:dyDescent="0.25">
      <c r="A146" s="1"/>
      <c r="B146" s="4"/>
      <c r="C146" s="1"/>
      <c r="D146" s="3"/>
      <c r="E146" s="2"/>
      <c r="F146" s="73"/>
      <c r="G146" s="8"/>
    </row>
    <row r="147" spans="1:7" s="5" customFormat="1" ht="15" x14ac:dyDescent="0.25">
      <c r="A147" s="1"/>
      <c r="B147" s="4"/>
      <c r="C147" s="1"/>
      <c r="D147" s="3"/>
      <c r="E147" s="2"/>
      <c r="F147" s="73"/>
      <c r="G147" s="8"/>
    </row>
    <row r="148" spans="1:7" s="5" customFormat="1" ht="15" x14ac:dyDescent="0.25">
      <c r="A148" s="1"/>
      <c r="B148" s="4"/>
      <c r="C148" s="1"/>
      <c r="D148" s="3"/>
      <c r="E148" s="2"/>
      <c r="F148" s="73"/>
      <c r="G148" s="8"/>
    </row>
    <row r="149" spans="1:7" s="5" customFormat="1" x14ac:dyDescent="0.25">
      <c r="A149" s="1"/>
      <c r="B149" s="4"/>
      <c r="C149" s="1"/>
      <c r="D149" s="3"/>
      <c r="E149" s="2"/>
      <c r="F149" s="73"/>
    </row>
    <row r="150" spans="1:7" s="5" customFormat="1" x14ac:dyDescent="0.25">
      <c r="A150" s="1"/>
      <c r="B150" s="4"/>
      <c r="C150" s="1"/>
      <c r="D150" s="3"/>
      <c r="E150" s="2"/>
      <c r="F150" s="73"/>
    </row>
    <row r="151" spans="1:7" s="5" customFormat="1" x14ac:dyDescent="0.25">
      <c r="A151" s="1"/>
      <c r="B151" s="4"/>
      <c r="C151" s="1"/>
      <c r="D151" s="3"/>
      <c r="E151" s="2"/>
      <c r="F151" s="73"/>
      <c r="G151" s="6"/>
    </row>
    <row r="152" spans="1:7" s="5" customFormat="1" x14ac:dyDescent="0.25">
      <c r="A152" s="1"/>
      <c r="B152" s="4"/>
      <c r="C152" s="1"/>
      <c r="D152" s="3"/>
      <c r="E152" s="2"/>
      <c r="F152" s="73"/>
      <c r="G152" s="6"/>
    </row>
    <row r="153" spans="1:7" s="5" customFormat="1" x14ac:dyDescent="0.25">
      <c r="A153" s="1"/>
      <c r="B153" s="4"/>
      <c r="C153" s="1"/>
      <c r="D153" s="3"/>
      <c r="E153" s="2"/>
      <c r="F153" s="73"/>
    </row>
    <row r="154" spans="1:7" s="5" customFormat="1" x14ac:dyDescent="0.25">
      <c r="A154" s="1"/>
      <c r="B154" s="4"/>
      <c r="C154" s="1"/>
      <c r="D154" s="3"/>
      <c r="E154" s="2"/>
      <c r="F154" s="73"/>
    </row>
    <row r="155" spans="1:7" s="5" customFormat="1" x14ac:dyDescent="0.25">
      <c r="A155" s="1"/>
      <c r="B155" s="4"/>
      <c r="C155" s="1"/>
      <c r="D155" s="3"/>
      <c r="E155" s="2"/>
      <c r="F155" s="73"/>
    </row>
    <row r="156" spans="1:7" s="5" customFormat="1" x14ac:dyDescent="0.25">
      <c r="A156" s="1"/>
      <c r="B156" s="4"/>
      <c r="C156" s="1"/>
      <c r="D156" s="3"/>
      <c r="E156" s="2"/>
      <c r="F156" s="73"/>
    </row>
    <row r="157" spans="1:7" s="5" customFormat="1" x14ac:dyDescent="0.25">
      <c r="A157" s="1"/>
      <c r="B157" s="4"/>
      <c r="C157" s="1"/>
      <c r="D157" s="3"/>
      <c r="E157" s="2"/>
      <c r="F157" s="73"/>
    </row>
    <row r="158" spans="1:7" s="5" customFormat="1" x14ac:dyDescent="0.25">
      <c r="A158" s="1"/>
      <c r="B158" s="4"/>
      <c r="C158" s="1"/>
      <c r="D158" s="3"/>
      <c r="E158" s="2"/>
      <c r="F158" s="73"/>
    </row>
    <row r="159" spans="1:7" s="5" customFormat="1" x14ac:dyDescent="0.25">
      <c r="A159" s="1"/>
      <c r="B159" s="4"/>
      <c r="C159" s="1"/>
      <c r="D159" s="3"/>
      <c r="E159" s="2"/>
      <c r="F159" s="73"/>
    </row>
    <row r="160" spans="1:7" s="5" customFormat="1" x14ac:dyDescent="0.25">
      <c r="A160" s="1"/>
      <c r="B160" s="4"/>
      <c r="C160" s="1"/>
      <c r="D160" s="3"/>
      <c r="E160" s="2"/>
      <c r="F160" s="73"/>
    </row>
    <row r="161" spans="1:7" s="5" customFormat="1" x14ac:dyDescent="0.25">
      <c r="A161" s="1"/>
      <c r="B161" s="4"/>
      <c r="C161" s="1"/>
      <c r="D161" s="3"/>
      <c r="E161" s="2"/>
      <c r="F161" s="73"/>
    </row>
    <row r="162" spans="1:7" s="5" customFormat="1" x14ac:dyDescent="0.25">
      <c r="A162" s="1"/>
      <c r="B162" s="4"/>
      <c r="C162" s="1"/>
      <c r="D162" s="3"/>
      <c r="E162" s="2"/>
      <c r="F162" s="73"/>
    </row>
    <row r="163" spans="1:7" s="5" customFormat="1" x14ac:dyDescent="0.25">
      <c r="A163" s="1"/>
      <c r="B163" s="4"/>
      <c r="C163" s="1"/>
      <c r="D163" s="3"/>
      <c r="E163" s="2"/>
      <c r="F163" s="73"/>
    </row>
    <row r="164" spans="1:7" s="5" customFormat="1" x14ac:dyDescent="0.25">
      <c r="A164" s="1"/>
      <c r="B164" s="4"/>
      <c r="C164" s="1"/>
      <c r="D164" s="3"/>
      <c r="E164" s="2"/>
      <c r="F164" s="73"/>
    </row>
    <row r="165" spans="1:7" s="5" customFormat="1" x14ac:dyDescent="0.25">
      <c r="A165" s="1"/>
      <c r="B165" s="4"/>
      <c r="C165" s="1"/>
      <c r="D165" s="3"/>
      <c r="E165" s="2"/>
      <c r="F165" s="73"/>
    </row>
    <row r="166" spans="1:7" s="5" customFormat="1" x14ac:dyDescent="0.25">
      <c r="A166" s="1"/>
      <c r="B166" s="4"/>
      <c r="C166" s="1"/>
      <c r="D166" s="3"/>
      <c r="E166" s="2"/>
      <c r="F166" s="73"/>
    </row>
    <row r="167" spans="1:7" s="5" customFormat="1" x14ac:dyDescent="0.25">
      <c r="A167" s="1"/>
      <c r="B167" s="4"/>
      <c r="C167" s="1"/>
      <c r="D167" s="3"/>
      <c r="E167" s="2"/>
      <c r="F167" s="73"/>
    </row>
    <row r="168" spans="1:7" s="5" customFormat="1" x14ac:dyDescent="0.25">
      <c r="A168" s="1"/>
      <c r="B168" s="4"/>
      <c r="C168" s="1"/>
      <c r="D168" s="3"/>
      <c r="E168" s="2"/>
      <c r="F168" s="73"/>
    </row>
    <row r="169" spans="1:7" s="5" customFormat="1" x14ac:dyDescent="0.25">
      <c r="A169" s="1"/>
      <c r="B169" s="4"/>
      <c r="C169" s="1"/>
      <c r="D169" s="3"/>
      <c r="E169" s="2"/>
      <c r="F169" s="73"/>
    </row>
    <row r="170" spans="1:7" s="5" customFormat="1" x14ac:dyDescent="0.25">
      <c r="A170" s="1"/>
      <c r="B170" s="4"/>
      <c r="C170" s="1"/>
      <c r="D170" s="3"/>
      <c r="E170" s="2"/>
      <c r="F170" s="73"/>
    </row>
    <row r="171" spans="1:7" s="5" customFormat="1" x14ac:dyDescent="0.25">
      <c r="A171" s="1"/>
      <c r="B171" s="4"/>
      <c r="C171" s="1"/>
      <c r="D171" s="3"/>
      <c r="E171" s="2"/>
      <c r="F171" s="73"/>
    </row>
    <row r="172" spans="1:7" s="5" customFormat="1" x14ac:dyDescent="0.25">
      <c r="A172" s="1"/>
      <c r="B172" s="4"/>
      <c r="C172" s="1"/>
      <c r="D172" s="3"/>
      <c r="E172" s="2"/>
      <c r="F172" s="73"/>
    </row>
    <row r="173" spans="1:7" s="5" customFormat="1" x14ac:dyDescent="0.25">
      <c r="A173" s="1"/>
      <c r="B173" s="4"/>
      <c r="C173" s="1"/>
      <c r="D173" s="3"/>
      <c r="E173" s="2"/>
      <c r="F173" s="73"/>
    </row>
    <row r="174" spans="1:7" s="5" customFormat="1" x14ac:dyDescent="0.25">
      <c r="A174" s="1"/>
      <c r="B174" s="4"/>
      <c r="C174" s="1"/>
      <c r="D174" s="3"/>
      <c r="E174" s="2"/>
      <c r="F174" s="73"/>
    </row>
    <row r="175" spans="1:7" s="5" customFormat="1" x14ac:dyDescent="0.25">
      <c r="A175" s="1"/>
      <c r="B175" s="4"/>
      <c r="C175" s="1"/>
      <c r="D175" s="3"/>
      <c r="E175" s="2"/>
      <c r="F175" s="73"/>
    </row>
    <row r="176" spans="1:7" s="5" customFormat="1" x14ac:dyDescent="0.25">
      <c r="A176" s="1"/>
      <c r="B176" s="4"/>
      <c r="C176" s="1"/>
      <c r="D176" s="3"/>
      <c r="E176" s="2"/>
      <c r="F176" s="73"/>
      <c r="G176" s="6"/>
    </row>
    <row r="177" spans="1:7" s="5" customFormat="1" x14ac:dyDescent="0.25">
      <c r="A177" s="1"/>
      <c r="B177" s="4"/>
      <c r="C177" s="1"/>
      <c r="D177" s="3"/>
      <c r="E177" s="2"/>
      <c r="F177" s="73"/>
      <c r="G177" s="7"/>
    </row>
    <row r="178" spans="1:7" s="5" customFormat="1" x14ac:dyDescent="0.25">
      <c r="A178" s="1"/>
      <c r="B178" s="4"/>
      <c r="C178" s="1"/>
      <c r="D178" s="3"/>
      <c r="E178" s="2"/>
      <c r="F178" s="73"/>
      <c r="G178" s="6"/>
    </row>
    <row r="179" spans="1:7" s="5" customFormat="1" x14ac:dyDescent="0.25">
      <c r="A179" s="1"/>
      <c r="B179" s="4"/>
      <c r="C179" s="1"/>
      <c r="D179" s="3"/>
      <c r="E179" s="2"/>
      <c r="F179" s="73"/>
      <c r="G179" s="6"/>
    </row>
    <row r="180" spans="1:7" s="5" customFormat="1" x14ac:dyDescent="0.25">
      <c r="A180" s="1"/>
      <c r="B180" s="4"/>
      <c r="C180" s="1"/>
      <c r="D180" s="3"/>
      <c r="E180" s="2"/>
      <c r="F180" s="73"/>
      <c r="G180" s="6"/>
    </row>
    <row r="181" spans="1:7" s="5" customFormat="1" x14ac:dyDescent="0.25">
      <c r="A181" s="1"/>
      <c r="B181" s="4"/>
      <c r="C181" s="1"/>
      <c r="D181" s="3"/>
      <c r="E181" s="2"/>
      <c r="F181" s="73"/>
      <c r="G181" s="6"/>
    </row>
    <row r="182" spans="1:7" s="5" customFormat="1" x14ac:dyDescent="0.25">
      <c r="A182" s="1"/>
      <c r="B182" s="4"/>
      <c r="C182" s="1"/>
      <c r="D182" s="3"/>
      <c r="E182" s="2"/>
      <c r="F182" s="73"/>
      <c r="G182" s="6"/>
    </row>
    <row r="183" spans="1:7" s="5" customFormat="1" x14ac:dyDescent="0.25">
      <c r="A183" s="1"/>
      <c r="B183" s="4"/>
      <c r="C183" s="1"/>
      <c r="D183" s="3"/>
      <c r="E183" s="2"/>
      <c r="F183" s="73"/>
      <c r="G183" s="6"/>
    </row>
    <row r="184" spans="1:7" s="5" customFormat="1" x14ac:dyDescent="0.25">
      <c r="A184" s="1"/>
      <c r="B184" s="4"/>
      <c r="C184" s="1"/>
      <c r="D184" s="3"/>
      <c r="E184" s="2"/>
      <c r="F184" s="73"/>
      <c r="G184" s="6"/>
    </row>
    <row r="185" spans="1:7" s="5" customFormat="1" x14ac:dyDescent="0.25">
      <c r="A185" s="1"/>
      <c r="B185" s="4"/>
      <c r="C185" s="1"/>
      <c r="D185" s="3"/>
      <c r="E185" s="2"/>
      <c r="F185" s="73"/>
      <c r="G185" s="6"/>
    </row>
    <row r="186" spans="1:7" s="5" customFormat="1" ht="15" x14ac:dyDescent="0.25">
      <c r="A186" s="1"/>
      <c r="B186" s="4"/>
      <c r="C186" s="1"/>
      <c r="D186" s="3"/>
      <c r="E186" s="2"/>
      <c r="F186" s="73"/>
      <c r="G186" s="8"/>
    </row>
    <row r="187" spans="1:7" s="5" customFormat="1" x14ac:dyDescent="0.25">
      <c r="A187" s="1"/>
      <c r="B187" s="4"/>
      <c r="C187" s="1"/>
      <c r="D187" s="3"/>
      <c r="E187" s="2"/>
      <c r="F187" s="73"/>
    </row>
    <row r="188" spans="1:7" s="5" customFormat="1" ht="15" x14ac:dyDescent="0.25">
      <c r="A188" s="1"/>
      <c r="B188" s="4"/>
      <c r="C188" s="1"/>
      <c r="D188" s="3"/>
      <c r="E188" s="2"/>
      <c r="F188" s="73"/>
      <c r="G188" s="8"/>
    </row>
    <row r="189" spans="1:7" s="5" customFormat="1" ht="15" x14ac:dyDescent="0.25">
      <c r="A189" s="1"/>
      <c r="B189" s="4"/>
      <c r="C189" s="1"/>
      <c r="D189" s="3"/>
      <c r="E189" s="2"/>
      <c r="F189" s="73"/>
      <c r="G189" s="8"/>
    </row>
    <row r="226" spans="1:7" s="5" customFormat="1" x14ac:dyDescent="0.25">
      <c r="A226" s="1"/>
      <c r="B226" s="4"/>
      <c r="C226" s="1"/>
      <c r="D226" s="3"/>
      <c r="E226" s="2"/>
      <c r="F226" s="73"/>
      <c r="G226" s="6"/>
    </row>
    <row r="227" spans="1:7" s="5" customFormat="1" x14ac:dyDescent="0.25">
      <c r="A227" s="1"/>
      <c r="B227" s="4"/>
      <c r="C227" s="1"/>
      <c r="D227" s="3"/>
      <c r="E227" s="2"/>
      <c r="F227" s="73"/>
      <c r="G227" s="6"/>
    </row>
    <row r="228" spans="1:7" s="5" customFormat="1" x14ac:dyDescent="0.25">
      <c r="A228" s="1"/>
      <c r="B228" s="4"/>
      <c r="C228" s="1"/>
      <c r="D228" s="3"/>
      <c r="E228" s="2"/>
      <c r="F228" s="73"/>
      <c r="G228" s="6"/>
    </row>
    <row r="229" spans="1:7" s="5" customFormat="1" ht="15" x14ac:dyDescent="0.25">
      <c r="A229" s="1"/>
      <c r="B229" s="4"/>
      <c r="C229" s="1"/>
      <c r="D229" s="3"/>
      <c r="E229" s="2"/>
      <c r="F229" s="73"/>
      <c r="G229" s="8"/>
    </row>
    <row r="232" spans="1:7" s="5" customFormat="1" x14ac:dyDescent="0.25">
      <c r="A232" s="1"/>
      <c r="B232" s="4"/>
      <c r="C232" s="1"/>
      <c r="D232" s="3"/>
      <c r="E232" s="2"/>
      <c r="F232" s="73"/>
      <c r="G232" s="6"/>
    </row>
    <row r="269" spans="1:7" s="5" customFormat="1" x14ac:dyDescent="0.25">
      <c r="A269" s="1"/>
      <c r="B269" s="4"/>
      <c r="C269" s="1"/>
      <c r="D269" s="3"/>
      <c r="E269" s="2"/>
      <c r="F269" s="73"/>
      <c r="G269" s="6"/>
    </row>
    <row r="270" spans="1:7" s="5" customFormat="1" x14ac:dyDescent="0.25">
      <c r="A270" s="1"/>
      <c r="B270" s="4"/>
      <c r="C270" s="1"/>
      <c r="D270" s="3"/>
      <c r="E270" s="2"/>
      <c r="F270" s="73"/>
      <c r="G270" s="6"/>
    </row>
    <row r="271" spans="1:7" s="5" customFormat="1" x14ac:dyDescent="0.25">
      <c r="A271" s="1"/>
      <c r="B271" s="4"/>
      <c r="C271" s="1"/>
      <c r="D271" s="3"/>
      <c r="E271" s="2"/>
      <c r="F271" s="73"/>
      <c r="G271" s="6"/>
    </row>
    <row r="307" spans="1:7" s="5" customFormat="1" x14ac:dyDescent="0.25">
      <c r="A307" s="1"/>
      <c r="B307" s="4"/>
      <c r="C307" s="1"/>
      <c r="D307" s="3"/>
      <c r="E307" s="2"/>
      <c r="F307" s="73"/>
      <c r="G307" s="7"/>
    </row>
    <row r="308" spans="1:7" s="5" customFormat="1" ht="15" x14ac:dyDescent="0.25">
      <c r="A308" s="1"/>
      <c r="B308" s="4"/>
      <c r="C308" s="1"/>
      <c r="D308" s="3"/>
      <c r="E308" s="2"/>
      <c r="F308" s="73"/>
      <c r="G308" s="8"/>
    </row>
    <row r="314" spans="1:7" s="5" customFormat="1" x14ac:dyDescent="0.25">
      <c r="A314" s="1"/>
      <c r="B314" s="4"/>
      <c r="C314" s="1"/>
      <c r="D314" s="3"/>
      <c r="E314" s="2"/>
      <c r="F314" s="73"/>
      <c r="G314" s="6"/>
    </row>
    <row r="378" spans="1:7" s="5" customFormat="1" x14ac:dyDescent="0.25">
      <c r="A378" s="1"/>
      <c r="B378" s="4"/>
      <c r="C378" s="1"/>
      <c r="D378" s="3"/>
      <c r="E378" s="2"/>
      <c r="F378" s="73"/>
      <c r="G378" s="7"/>
    </row>
    <row r="430" spans="1:7" s="5" customFormat="1" x14ac:dyDescent="0.25">
      <c r="A430" s="1"/>
      <c r="B430" s="4"/>
      <c r="C430" s="1"/>
      <c r="D430" s="3"/>
      <c r="E430" s="2"/>
      <c r="F430" s="73"/>
      <c r="G430" s="6"/>
    </row>
    <row r="431" spans="1:7" s="5" customFormat="1" x14ac:dyDescent="0.25">
      <c r="A431" s="1"/>
      <c r="B431" s="4"/>
      <c r="C431" s="1"/>
      <c r="D431" s="3"/>
      <c r="E431" s="2"/>
      <c r="F431" s="73"/>
      <c r="G431" s="7"/>
    </row>
    <row r="432" spans="1:7" s="5" customFormat="1" x14ac:dyDescent="0.25">
      <c r="A432" s="1"/>
      <c r="B432" s="4"/>
      <c r="C432" s="1"/>
      <c r="D432" s="3"/>
      <c r="E432" s="2"/>
      <c r="F432" s="73"/>
      <c r="G432" s="6"/>
    </row>
    <row r="433" spans="1:7" s="5" customFormat="1" x14ac:dyDescent="0.25">
      <c r="A433" s="1"/>
      <c r="B433" s="4"/>
      <c r="C433" s="1"/>
      <c r="D433" s="3"/>
      <c r="E433" s="2"/>
      <c r="F433" s="73"/>
      <c r="G433" s="6"/>
    </row>
    <row r="434" spans="1:7" s="5" customFormat="1" x14ac:dyDescent="0.25">
      <c r="A434" s="1"/>
      <c r="B434" s="4"/>
      <c r="C434" s="1"/>
      <c r="D434" s="3"/>
      <c r="E434" s="2"/>
      <c r="F434" s="73"/>
      <c r="G434" s="6"/>
    </row>
    <row r="435" spans="1:7" s="5" customFormat="1" x14ac:dyDescent="0.25">
      <c r="A435" s="1"/>
      <c r="B435" s="4"/>
      <c r="C435" s="1"/>
      <c r="D435" s="3"/>
      <c r="E435" s="2"/>
      <c r="F435" s="73"/>
      <c r="G435" s="6"/>
    </row>
    <row r="436" spans="1:7" s="5" customFormat="1" x14ac:dyDescent="0.25">
      <c r="A436" s="1"/>
      <c r="B436" s="4"/>
      <c r="C436" s="1"/>
      <c r="D436" s="3"/>
      <c r="E436" s="2"/>
      <c r="F436" s="73"/>
      <c r="G436" s="6"/>
    </row>
    <row r="437" spans="1:7" s="5" customFormat="1" x14ac:dyDescent="0.25">
      <c r="A437" s="1"/>
      <c r="B437" s="4"/>
      <c r="C437" s="1"/>
      <c r="D437" s="3"/>
      <c r="E437" s="2"/>
      <c r="F437" s="73"/>
      <c r="G437" s="6"/>
    </row>
    <row r="438" spans="1:7" s="5" customFormat="1" x14ac:dyDescent="0.25">
      <c r="A438" s="1"/>
      <c r="B438" s="4"/>
      <c r="C438" s="1"/>
      <c r="D438" s="3"/>
      <c r="E438" s="2"/>
      <c r="F438" s="73"/>
      <c r="G438" s="6"/>
    </row>
    <row r="439" spans="1:7" s="5" customFormat="1" x14ac:dyDescent="0.25">
      <c r="A439" s="1"/>
      <c r="B439" s="4"/>
      <c r="C439" s="1"/>
      <c r="D439" s="3"/>
      <c r="E439" s="2"/>
      <c r="F439" s="73"/>
      <c r="G439" s="6"/>
    </row>
    <row r="440" spans="1:7" s="5" customFormat="1" x14ac:dyDescent="0.25">
      <c r="A440" s="1"/>
      <c r="B440" s="4"/>
      <c r="C440" s="1"/>
      <c r="D440" s="3"/>
      <c r="E440" s="2"/>
      <c r="F440" s="73"/>
      <c r="G440" s="6"/>
    </row>
    <row r="441" spans="1:7" s="5" customFormat="1" x14ac:dyDescent="0.25">
      <c r="A441" s="1"/>
      <c r="B441" s="4"/>
      <c r="C441" s="1"/>
      <c r="D441" s="3"/>
      <c r="E441" s="2"/>
      <c r="F441" s="73"/>
      <c r="G441" s="6"/>
    </row>
    <row r="442" spans="1:7" s="5" customFormat="1" x14ac:dyDescent="0.25">
      <c r="A442" s="1"/>
      <c r="B442" s="4"/>
      <c r="C442" s="1"/>
      <c r="D442" s="3"/>
      <c r="E442" s="2"/>
      <c r="F442" s="73"/>
      <c r="G442" s="6"/>
    </row>
    <row r="443" spans="1:7" s="5" customFormat="1" x14ac:dyDescent="0.25">
      <c r="A443" s="1"/>
      <c r="B443" s="4"/>
      <c r="C443" s="1"/>
      <c r="D443" s="3"/>
      <c r="E443" s="2"/>
      <c r="F443" s="73"/>
      <c r="G443" s="6"/>
    </row>
    <row r="444" spans="1:7" s="5" customFormat="1" x14ac:dyDescent="0.25">
      <c r="A444" s="1"/>
      <c r="B444" s="4"/>
      <c r="C444" s="1"/>
      <c r="D444" s="3"/>
      <c r="E444" s="2"/>
      <c r="F444" s="73"/>
      <c r="G444" s="6"/>
    </row>
    <row r="445" spans="1:7" s="5" customFormat="1" x14ac:dyDescent="0.25">
      <c r="A445" s="1"/>
      <c r="B445" s="4"/>
      <c r="C445" s="1"/>
      <c r="D445" s="3"/>
      <c r="E445" s="2"/>
      <c r="F445" s="73"/>
      <c r="G445" s="6"/>
    </row>
    <row r="446" spans="1:7" s="5" customFormat="1" x14ac:dyDescent="0.25">
      <c r="A446" s="1"/>
      <c r="B446" s="4"/>
      <c r="C446" s="1"/>
      <c r="D446" s="3"/>
      <c r="E446" s="2"/>
      <c r="F446" s="73"/>
      <c r="G446" s="6"/>
    </row>
    <row r="447" spans="1:7" s="5" customFormat="1" x14ac:dyDescent="0.25">
      <c r="A447" s="1"/>
      <c r="B447" s="4"/>
      <c r="C447" s="1"/>
      <c r="D447" s="3"/>
      <c r="E447" s="2"/>
      <c r="F447" s="73"/>
      <c r="G447" s="6"/>
    </row>
    <row r="448" spans="1:7" s="5" customFormat="1" x14ac:dyDescent="0.25">
      <c r="A448" s="1"/>
      <c r="B448" s="4"/>
      <c r="C448" s="1"/>
      <c r="D448" s="3"/>
      <c r="E448" s="2"/>
      <c r="F448" s="73"/>
      <c r="G448" s="6"/>
    </row>
    <row r="449" spans="1:7" s="5" customFormat="1" x14ac:dyDescent="0.25">
      <c r="A449" s="1"/>
      <c r="B449" s="4"/>
      <c r="C449" s="1"/>
      <c r="D449" s="3"/>
      <c r="E449" s="2"/>
      <c r="F449" s="73"/>
      <c r="G449" s="6"/>
    </row>
    <row r="450" spans="1:7" s="5" customFormat="1" x14ac:dyDescent="0.25">
      <c r="A450" s="1"/>
      <c r="B450" s="4"/>
      <c r="C450" s="1"/>
      <c r="D450" s="3"/>
      <c r="E450" s="2"/>
      <c r="F450" s="73"/>
      <c r="G450" s="6"/>
    </row>
    <row r="451" spans="1:7" s="5" customFormat="1" x14ac:dyDescent="0.25">
      <c r="A451" s="1"/>
      <c r="B451" s="4"/>
      <c r="C451" s="1"/>
      <c r="D451" s="3"/>
      <c r="E451" s="2"/>
      <c r="F451" s="73"/>
      <c r="G451" s="6"/>
    </row>
    <row r="452" spans="1:7" s="5" customFormat="1" x14ac:dyDescent="0.25">
      <c r="A452" s="1"/>
      <c r="B452" s="4"/>
      <c r="C452" s="1"/>
      <c r="D452" s="3"/>
      <c r="E452" s="2"/>
      <c r="F452" s="73"/>
      <c r="G452" s="6"/>
    </row>
    <row r="453" spans="1:7" s="5" customFormat="1" x14ac:dyDescent="0.25">
      <c r="A453" s="1"/>
      <c r="B453" s="4"/>
      <c r="C453" s="1"/>
      <c r="D453" s="3"/>
      <c r="E453" s="2"/>
      <c r="F453" s="73"/>
      <c r="G453" s="6"/>
    </row>
    <row r="454" spans="1:7" s="5" customFormat="1" x14ac:dyDescent="0.25">
      <c r="A454" s="1"/>
      <c r="B454" s="4"/>
      <c r="C454" s="1"/>
      <c r="D454" s="3"/>
      <c r="E454" s="2"/>
      <c r="F454" s="73"/>
      <c r="G454" s="6"/>
    </row>
    <row r="455" spans="1:7" s="5" customFormat="1" x14ac:dyDescent="0.25">
      <c r="A455" s="1"/>
      <c r="B455" s="4"/>
      <c r="C455" s="1"/>
      <c r="D455" s="3"/>
      <c r="E455" s="2"/>
      <c r="F455" s="73"/>
      <c r="G455" s="6"/>
    </row>
    <row r="456" spans="1:7" s="5" customFormat="1" x14ac:dyDescent="0.25">
      <c r="A456" s="1"/>
      <c r="B456" s="4"/>
      <c r="C456" s="1"/>
      <c r="D456" s="3"/>
      <c r="E456" s="2"/>
      <c r="F456" s="73"/>
      <c r="G456" s="6"/>
    </row>
    <row r="457" spans="1:7" s="5" customFormat="1" x14ac:dyDescent="0.25">
      <c r="A457" s="1"/>
      <c r="B457" s="4"/>
      <c r="C457" s="1"/>
      <c r="D457" s="3"/>
      <c r="E457" s="2"/>
      <c r="F457" s="73"/>
      <c r="G457" s="6"/>
    </row>
    <row r="458" spans="1:7" s="5" customFormat="1" x14ac:dyDescent="0.25">
      <c r="A458" s="1"/>
      <c r="B458" s="4"/>
      <c r="C458" s="1"/>
      <c r="D458" s="3"/>
      <c r="E458" s="2"/>
      <c r="F458" s="73"/>
      <c r="G458" s="6"/>
    </row>
    <row r="459" spans="1:7" s="5" customFormat="1" x14ac:dyDescent="0.25">
      <c r="A459" s="1"/>
      <c r="B459" s="4"/>
      <c r="C459" s="1"/>
      <c r="D459" s="3"/>
      <c r="E459" s="2"/>
      <c r="F459" s="73"/>
      <c r="G459" s="6"/>
    </row>
    <row r="460" spans="1:7" s="5" customFormat="1" x14ac:dyDescent="0.25">
      <c r="A460" s="1"/>
      <c r="B460" s="4"/>
      <c r="C460" s="1"/>
      <c r="D460" s="3"/>
      <c r="E460" s="2"/>
      <c r="F460" s="73"/>
      <c r="G460" s="6"/>
    </row>
    <row r="461" spans="1:7" s="5" customFormat="1" x14ac:dyDescent="0.25">
      <c r="A461" s="1"/>
      <c r="B461" s="4"/>
      <c r="C461" s="1"/>
      <c r="D461" s="3"/>
      <c r="E461" s="2"/>
      <c r="F461" s="73"/>
      <c r="G461" s="6"/>
    </row>
    <row r="462" spans="1:7" s="5" customFormat="1" x14ac:dyDescent="0.25">
      <c r="A462" s="1"/>
      <c r="B462" s="4"/>
      <c r="C462" s="1"/>
      <c r="D462" s="3"/>
      <c r="E462" s="2"/>
      <c r="F462" s="73"/>
      <c r="G462" s="6"/>
    </row>
    <row r="463" spans="1:7" s="5" customFormat="1" x14ac:dyDescent="0.25">
      <c r="A463" s="1"/>
      <c r="B463" s="4"/>
      <c r="C463" s="1"/>
      <c r="D463" s="3"/>
      <c r="E463" s="2"/>
      <c r="F463" s="73"/>
      <c r="G463" s="6"/>
    </row>
    <row r="464" spans="1:7" s="5" customFormat="1" x14ac:dyDescent="0.25">
      <c r="A464" s="1"/>
      <c r="B464" s="4"/>
      <c r="C464" s="1"/>
      <c r="D464" s="3"/>
      <c r="E464" s="2"/>
      <c r="F464" s="73"/>
      <c r="G464" s="6"/>
    </row>
    <row r="465" spans="1:7" s="5" customFormat="1" x14ac:dyDescent="0.25">
      <c r="A465" s="1"/>
      <c r="B465" s="4"/>
      <c r="C465" s="1"/>
      <c r="D465" s="3"/>
      <c r="E465" s="2"/>
      <c r="F465" s="73"/>
      <c r="G465" s="6"/>
    </row>
    <row r="466" spans="1:7" s="5" customFormat="1" x14ac:dyDescent="0.25">
      <c r="A466" s="1"/>
      <c r="B466" s="4"/>
      <c r="C466" s="1"/>
      <c r="D466" s="3"/>
      <c r="E466" s="2"/>
      <c r="F466" s="73"/>
      <c r="G466" s="6"/>
    </row>
    <row r="467" spans="1:7" s="5" customFormat="1" x14ac:dyDescent="0.25">
      <c r="A467" s="1"/>
      <c r="B467" s="4"/>
      <c r="C467" s="1"/>
      <c r="D467" s="3"/>
      <c r="E467" s="2"/>
      <c r="F467" s="73"/>
      <c r="G467" s="6"/>
    </row>
    <row r="468" spans="1:7" s="5" customFormat="1" x14ac:dyDescent="0.25">
      <c r="A468" s="1"/>
      <c r="B468" s="4"/>
      <c r="C468" s="1"/>
      <c r="D468" s="3"/>
      <c r="E468" s="2"/>
      <c r="F468" s="73"/>
      <c r="G468" s="6"/>
    </row>
    <row r="469" spans="1:7" s="5" customFormat="1" x14ac:dyDescent="0.25">
      <c r="A469" s="1"/>
      <c r="B469" s="4"/>
      <c r="C469" s="1"/>
      <c r="D469" s="3"/>
      <c r="E469" s="2"/>
      <c r="F469" s="73"/>
      <c r="G469" s="6"/>
    </row>
    <row r="470" spans="1:7" s="5" customFormat="1" x14ac:dyDescent="0.25">
      <c r="A470" s="1"/>
      <c r="B470" s="4"/>
      <c r="C470" s="1"/>
      <c r="D470" s="3"/>
      <c r="E470" s="2"/>
      <c r="F470" s="73"/>
      <c r="G470" s="6"/>
    </row>
    <row r="471" spans="1:7" s="5" customFormat="1" x14ac:dyDescent="0.25">
      <c r="A471" s="1"/>
      <c r="B471" s="4"/>
      <c r="C471" s="1"/>
      <c r="D471" s="3"/>
      <c r="E471" s="2"/>
      <c r="F471" s="73"/>
      <c r="G471" s="6"/>
    </row>
    <row r="472" spans="1:7" s="5" customFormat="1" x14ac:dyDescent="0.25">
      <c r="A472" s="1"/>
      <c r="B472" s="4"/>
      <c r="C472" s="1"/>
      <c r="D472" s="3"/>
      <c r="E472" s="2"/>
      <c r="F472" s="73"/>
      <c r="G472" s="6"/>
    </row>
    <row r="473" spans="1:7" s="5" customFormat="1" x14ac:dyDescent="0.25">
      <c r="A473" s="1"/>
      <c r="B473" s="4"/>
      <c r="C473" s="1"/>
      <c r="D473" s="3"/>
      <c r="E473" s="2"/>
      <c r="F473" s="73"/>
      <c r="G473" s="6"/>
    </row>
    <row r="474" spans="1:7" s="5" customFormat="1" x14ac:dyDescent="0.25">
      <c r="A474" s="1"/>
      <c r="B474" s="4"/>
      <c r="C474" s="1"/>
      <c r="D474" s="3"/>
      <c r="E474" s="2"/>
      <c r="F474" s="73"/>
      <c r="G474" s="6"/>
    </row>
    <row r="475" spans="1:7" s="5" customFormat="1" x14ac:dyDescent="0.25">
      <c r="A475" s="1"/>
      <c r="B475" s="4"/>
      <c r="C475" s="1"/>
      <c r="D475" s="3"/>
      <c r="E475" s="2"/>
      <c r="F475" s="73"/>
      <c r="G475" s="6"/>
    </row>
    <row r="476" spans="1:7" s="5" customFormat="1" x14ac:dyDescent="0.25">
      <c r="A476" s="1"/>
      <c r="B476" s="4"/>
      <c r="C476" s="1"/>
      <c r="D476" s="3"/>
      <c r="E476" s="2"/>
      <c r="F476" s="73"/>
      <c r="G476" s="6"/>
    </row>
    <row r="477" spans="1:7" s="5" customFormat="1" x14ac:dyDescent="0.25">
      <c r="A477" s="1"/>
      <c r="B477" s="4"/>
      <c r="C477" s="1"/>
      <c r="D477" s="3"/>
      <c r="E477" s="2"/>
      <c r="F477" s="73"/>
      <c r="G477" s="6"/>
    </row>
    <row r="478" spans="1:7" s="5" customFormat="1" x14ac:dyDescent="0.25">
      <c r="A478" s="1"/>
      <c r="B478" s="4"/>
      <c r="C478" s="1"/>
      <c r="D478" s="3"/>
      <c r="E478" s="2"/>
      <c r="F478" s="73"/>
      <c r="G478" s="6"/>
    </row>
    <row r="479" spans="1:7" s="5" customFormat="1" x14ac:dyDescent="0.25">
      <c r="A479" s="1"/>
      <c r="B479" s="4"/>
      <c r="C479" s="1"/>
      <c r="D479" s="3"/>
      <c r="E479" s="2"/>
      <c r="F479" s="73"/>
      <c r="G479" s="6"/>
    </row>
    <row r="480" spans="1:7" s="5" customFormat="1" x14ac:dyDescent="0.25">
      <c r="A480" s="1"/>
      <c r="B480" s="4"/>
      <c r="C480" s="1"/>
      <c r="D480" s="3"/>
      <c r="E480" s="2"/>
      <c r="F480" s="73"/>
      <c r="G480" s="6"/>
    </row>
    <row r="481" spans="1:7" s="5" customFormat="1" x14ac:dyDescent="0.25">
      <c r="A481" s="1"/>
      <c r="B481" s="4"/>
      <c r="C481" s="1"/>
      <c r="D481" s="3"/>
      <c r="E481" s="2"/>
      <c r="F481" s="73"/>
      <c r="G481" s="6"/>
    </row>
    <row r="482" spans="1:7" s="5" customFormat="1" x14ac:dyDescent="0.25">
      <c r="A482" s="1"/>
      <c r="B482" s="4"/>
      <c r="C482" s="1"/>
      <c r="D482" s="3"/>
      <c r="E482" s="2"/>
      <c r="F482" s="73"/>
      <c r="G482" s="6"/>
    </row>
    <row r="483" spans="1:7" s="5" customFormat="1" x14ac:dyDescent="0.25">
      <c r="A483" s="1"/>
      <c r="B483" s="4"/>
      <c r="C483" s="1"/>
      <c r="D483" s="3"/>
      <c r="E483" s="2"/>
      <c r="F483" s="73"/>
      <c r="G483" s="6"/>
    </row>
    <row r="484" spans="1:7" s="5" customFormat="1" x14ac:dyDescent="0.25">
      <c r="A484" s="1"/>
      <c r="B484" s="4"/>
      <c r="C484" s="1"/>
      <c r="D484" s="3"/>
      <c r="E484" s="2"/>
      <c r="F484" s="73"/>
      <c r="G484" s="6"/>
    </row>
    <row r="485" spans="1:7" s="5" customFormat="1" x14ac:dyDescent="0.25">
      <c r="A485" s="1"/>
      <c r="B485" s="4"/>
      <c r="C485" s="1"/>
      <c r="D485" s="3"/>
      <c r="E485" s="2"/>
      <c r="F485" s="73"/>
      <c r="G485" s="6"/>
    </row>
    <row r="486" spans="1:7" s="5" customFormat="1" x14ac:dyDescent="0.25">
      <c r="A486" s="1"/>
      <c r="B486" s="4"/>
      <c r="C486" s="1"/>
      <c r="D486" s="3"/>
      <c r="E486" s="2"/>
      <c r="F486" s="73"/>
      <c r="G486" s="6"/>
    </row>
    <row r="487" spans="1:7" s="5" customFormat="1" x14ac:dyDescent="0.25">
      <c r="A487" s="1"/>
      <c r="B487" s="4"/>
      <c r="C487" s="1"/>
      <c r="D487" s="3"/>
      <c r="E487" s="2"/>
      <c r="F487" s="73"/>
      <c r="G487" s="6"/>
    </row>
    <row r="488" spans="1:7" s="5" customFormat="1" x14ac:dyDescent="0.25">
      <c r="A488" s="1"/>
      <c r="B488" s="4"/>
      <c r="C488" s="1"/>
      <c r="D488" s="3"/>
      <c r="E488" s="2"/>
      <c r="F488" s="73"/>
      <c r="G488" s="6"/>
    </row>
    <row r="489" spans="1:7" s="5" customFormat="1" x14ac:dyDescent="0.25">
      <c r="A489" s="1"/>
      <c r="B489" s="4"/>
      <c r="C489" s="1"/>
      <c r="D489" s="3"/>
      <c r="E489" s="2"/>
      <c r="F489" s="73"/>
      <c r="G489" s="6"/>
    </row>
    <row r="490" spans="1:7" s="5" customFormat="1" x14ac:dyDescent="0.25">
      <c r="A490" s="1"/>
      <c r="B490" s="4"/>
      <c r="C490" s="1"/>
      <c r="D490" s="3"/>
      <c r="E490" s="2"/>
      <c r="F490" s="73"/>
      <c r="G490" s="6"/>
    </row>
    <row r="491" spans="1:7" s="5" customFormat="1" x14ac:dyDescent="0.25">
      <c r="A491" s="1"/>
      <c r="B491" s="4"/>
      <c r="C491" s="1"/>
      <c r="D491" s="3"/>
      <c r="E491" s="2"/>
      <c r="F491" s="73"/>
      <c r="G491" s="6"/>
    </row>
    <row r="492" spans="1:7" s="5" customFormat="1" x14ac:dyDescent="0.25">
      <c r="A492" s="1"/>
      <c r="B492" s="4"/>
      <c r="C492" s="1"/>
      <c r="D492" s="3"/>
      <c r="E492" s="2"/>
      <c r="F492" s="73"/>
      <c r="G492" s="6"/>
    </row>
    <row r="493" spans="1:7" s="5" customFormat="1" x14ac:dyDescent="0.25">
      <c r="A493" s="1"/>
      <c r="B493" s="4"/>
      <c r="C493" s="1"/>
      <c r="D493" s="3"/>
      <c r="E493" s="2"/>
      <c r="F493" s="73"/>
      <c r="G493" s="6"/>
    </row>
    <row r="494" spans="1:7" s="5" customFormat="1" x14ac:dyDescent="0.25">
      <c r="A494" s="1"/>
      <c r="B494" s="4"/>
      <c r="C494" s="1"/>
      <c r="D494" s="3"/>
      <c r="E494" s="2"/>
      <c r="F494" s="73"/>
      <c r="G494" s="6"/>
    </row>
    <row r="495" spans="1:7" s="5" customFormat="1" x14ac:dyDescent="0.25">
      <c r="A495" s="1"/>
      <c r="B495" s="4"/>
      <c r="C495" s="1"/>
      <c r="D495" s="3"/>
      <c r="E495" s="2"/>
      <c r="F495" s="73"/>
      <c r="G495" s="6"/>
    </row>
    <row r="496" spans="1:7" s="5" customFormat="1" x14ac:dyDescent="0.25">
      <c r="A496" s="1"/>
      <c r="B496" s="4"/>
      <c r="C496" s="1"/>
      <c r="D496" s="3"/>
      <c r="E496" s="2"/>
      <c r="F496" s="73"/>
      <c r="G496" s="6"/>
    </row>
    <row r="497" spans="1:7" s="5" customFormat="1" x14ac:dyDescent="0.25">
      <c r="A497" s="1"/>
      <c r="B497" s="4"/>
      <c r="C497" s="1"/>
      <c r="D497" s="3"/>
      <c r="E497" s="2"/>
      <c r="F497" s="73"/>
      <c r="G497" s="6"/>
    </row>
    <row r="498" spans="1:7" s="5" customFormat="1" x14ac:dyDescent="0.25">
      <c r="A498" s="1"/>
      <c r="B498" s="4"/>
      <c r="C498" s="1"/>
      <c r="D498" s="3"/>
      <c r="E498" s="2"/>
      <c r="F498" s="73"/>
      <c r="G498" s="6"/>
    </row>
    <row r="499" spans="1:7" s="5" customFormat="1" x14ac:dyDescent="0.25">
      <c r="A499" s="1"/>
      <c r="B499" s="4"/>
      <c r="C499" s="1"/>
      <c r="D499" s="3"/>
      <c r="E499" s="2"/>
      <c r="F499" s="73"/>
      <c r="G499" s="6"/>
    </row>
    <row r="500" spans="1:7" s="5" customFormat="1" x14ac:dyDescent="0.25">
      <c r="A500" s="1"/>
      <c r="B500" s="4"/>
      <c r="C500" s="1"/>
      <c r="D500" s="3"/>
      <c r="E500" s="2"/>
      <c r="F500" s="73"/>
      <c r="G500" s="6"/>
    </row>
    <row r="501" spans="1:7" s="5" customFormat="1" x14ac:dyDescent="0.25">
      <c r="A501" s="1"/>
      <c r="B501" s="4"/>
      <c r="C501" s="1"/>
      <c r="D501" s="3"/>
      <c r="E501" s="2"/>
      <c r="F501" s="73"/>
      <c r="G501" s="6"/>
    </row>
    <row r="502" spans="1:7" s="5" customFormat="1" x14ac:dyDescent="0.25">
      <c r="A502" s="1"/>
      <c r="B502" s="4"/>
      <c r="C502" s="1"/>
      <c r="D502" s="3"/>
      <c r="E502" s="2"/>
      <c r="F502" s="73"/>
      <c r="G502" s="6"/>
    </row>
    <row r="503" spans="1:7" s="5" customFormat="1" x14ac:dyDescent="0.25">
      <c r="A503" s="1"/>
      <c r="B503" s="4"/>
      <c r="C503" s="1"/>
      <c r="D503" s="3"/>
      <c r="E503" s="2"/>
      <c r="F503" s="73"/>
      <c r="G503" s="6"/>
    </row>
    <row r="504" spans="1:7" s="5" customFormat="1" x14ac:dyDescent="0.25">
      <c r="A504" s="1"/>
      <c r="B504" s="4"/>
      <c r="C504" s="1"/>
      <c r="D504" s="3"/>
      <c r="E504" s="2"/>
      <c r="F504" s="73"/>
      <c r="G504" s="6"/>
    </row>
    <row r="505" spans="1:7" s="5" customFormat="1" x14ac:dyDescent="0.25">
      <c r="A505" s="1"/>
      <c r="B505" s="4"/>
      <c r="C505" s="1"/>
      <c r="D505" s="3"/>
      <c r="E505" s="2"/>
      <c r="F505" s="73"/>
      <c r="G505" s="6"/>
    </row>
    <row r="506" spans="1:7" s="5" customFormat="1" x14ac:dyDescent="0.25">
      <c r="A506" s="1"/>
      <c r="B506" s="4"/>
      <c r="C506" s="1"/>
      <c r="D506" s="3"/>
      <c r="E506" s="2"/>
      <c r="F506" s="73"/>
      <c r="G506" s="6"/>
    </row>
    <row r="507" spans="1:7" s="5" customFormat="1" x14ac:dyDescent="0.25">
      <c r="A507" s="1"/>
      <c r="B507" s="4"/>
      <c r="C507" s="1"/>
      <c r="D507" s="3"/>
      <c r="E507" s="2"/>
      <c r="F507" s="73"/>
      <c r="G507" s="6"/>
    </row>
    <row r="508" spans="1:7" s="5" customFormat="1" x14ac:dyDescent="0.25">
      <c r="A508" s="1"/>
      <c r="B508" s="4"/>
      <c r="C508" s="1"/>
      <c r="D508" s="3"/>
      <c r="E508" s="2"/>
      <c r="F508" s="73"/>
      <c r="G508" s="6"/>
    </row>
    <row r="509" spans="1:7" s="5" customFormat="1" x14ac:dyDescent="0.25">
      <c r="A509" s="1"/>
      <c r="B509" s="4"/>
      <c r="C509" s="1"/>
      <c r="D509" s="3"/>
      <c r="E509" s="2"/>
      <c r="F509" s="73"/>
      <c r="G509" s="6"/>
    </row>
    <row r="510" spans="1:7" s="5" customFormat="1" x14ac:dyDescent="0.25">
      <c r="A510" s="1"/>
      <c r="B510" s="4"/>
      <c r="C510" s="1"/>
      <c r="D510" s="3"/>
      <c r="E510" s="2"/>
      <c r="F510" s="73"/>
      <c r="G510" s="6"/>
    </row>
    <row r="511" spans="1:7" s="5" customFormat="1" x14ac:dyDescent="0.25">
      <c r="A511" s="1"/>
      <c r="B511" s="4"/>
      <c r="C511" s="1"/>
      <c r="D511" s="3"/>
      <c r="E511" s="2"/>
      <c r="F511" s="73"/>
      <c r="G511" s="6"/>
    </row>
    <row r="512" spans="1:7" s="5" customFormat="1" x14ac:dyDescent="0.25">
      <c r="A512" s="1"/>
      <c r="B512" s="4"/>
      <c r="C512" s="1"/>
      <c r="D512" s="3"/>
      <c r="E512" s="2"/>
      <c r="F512" s="73"/>
      <c r="G512" s="6"/>
    </row>
    <row r="513" spans="1:7" s="5" customFormat="1" x14ac:dyDescent="0.25">
      <c r="A513" s="1"/>
      <c r="B513" s="4"/>
      <c r="C513" s="1"/>
      <c r="D513" s="3"/>
      <c r="E513" s="2"/>
      <c r="F513" s="73"/>
      <c r="G513" s="6"/>
    </row>
    <row r="514" spans="1:7" s="5" customFormat="1" x14ac:dyDescent="0.25">
      <c r="A514" s="1"/>
      <c r="B514" s="4"/>
      <c r="C514" s="1"/>
      <c r="D514" s="3"/>
      <c r="E514" s="2"/>
      <c r="F514" s="73"/>
      <c r="G514" s="6"/>
    </row>
    <row r="515" spans="1:7" s="5" customFormat="1" x14ac:dyDescent="0.25">
      <c r="A515" s="1"/>
      <c r="B515" s="4"/>
      <c r="C515" s="1"/>
      <c r="D515" s="3"/>
      <c r="E515" s="2"/>
      <c r="F515" s="73"/>
      <c r="G515" s="6"/>
    </row>
    <row r="516" spans="1:7" s="5" customFormat="1" x14ac:dyDescent="0.25">
      <c r="A516" s="1"/>
      <c r="B516" s="4"/>
      <c r="C516" s="1"/>
      <c r="D516" s="3"/>
      <c r="E516" s="2"/>
      <c r="F516" s="73"/>
      <c r="G516" s="6"/>
    </row>
    <row r="517" spans="1:7" s="5" customFormat="1" x14ac:dyDescent="0.25">
      <c r="A517" s="1"/>
      <c r="B517" s="4"/>
      <c r="C517" s="1"/>
      <c r="D517" s="3"/>
      <c r="E517" s="2"/>
      <c r="F517" s="73"/>
      <c r="G517" s="6"/>
    </row>
    <row r="518" spans="1:7" s="5" customFormat="1" x14ac:dyDescent="0.25">
      <c r="A518" s="1"/>
      <c r="B518" s="4"/>
      <c r="C518" s="1"/>
      <c r="D518" s="3"/>
      <c r="E518" s="2"/>
      <c r="F518" s="73"/>
      <c r="G518" s="6"/>
    </row>
    <row r="519" spans="1:7" s="5" customFormat="1" x14ac:dyDescent="0.25">
      <c r="A519" s="1"/>
      <c r="B519" s="4"/>
      <c r="C519" s="1"/>
      <c r="D519" s="3"/>
      <c r="E519" s="2"/>
      <c r="F519" s="73"/>
      <c r="G519" s="6"/>
    </row>
    <row r="520" spans="1:7" s="5" customFormat="1" x14ac:dyDescent="0.25">
      <c r="A520" s="1"/>
      <c r="B520" s="4"/>
      <c r="C520" s="1"/>
      <c r="D520" s="3"/>
      <c r="E520" s="2"/>
      <c r="F520" s="73"/>
      <c r="G520" s="6"/>
    </row>
    <row r="521" spans="1:7" s="5" customFormat="1" x14ac:dyDescent="0.25">
      <c r="A521" s="1"/>
      <c r="B521" s="4"/>
      <c r="C521" s="1"/>
      <c r="D521" s="3"/>
      <c r="E521" s="2"/>
      <c r="F521" s="73"/>
      <c r="G521" s="6"/>
    </row>
    <row r="522" spans="1:7" s="5" customFormat="1" x14ac:dyDescent="0.25">
      <c r="A522" s="1"/>
      <c r="B522" s="4"/>
      <c r="C522" s="1"/>
      <c r="D522" s="3"/>
      <c r="E522" s="2"/>
      <c r="F522" s="73"/>
      <c r="G522" s="6"/>
    </row>
    <row r="523" spans="1:7" s="5" customFormat="1" x14ac:dyDescent="0.25">
      <c r="A523" s="1"/>
      <c r="B523" s="4"/>
      <c r="C523" s="1"/>
      <c r="D523" s="3"/>
      <c r="E523" s="2"/>
      <c r="F523" s="73"/>
      <c r="G523" s="6"/>
    </row>
    <row r="524" spans="1:7" s="5" customFormat="1" x14ac:dyDescent="0.25">
      <c r="A524" s="1"/>
      <c r="B524" s="4"/>
      <c r="C524" s="1"/>
      <c r="D524" s="3"/>
      <c r="E524" s="2"/>
      <c r="F524" s="73"/>
      <c r="G524" s="6"/>
    </row>
    <row r="525" spans="1:7" s="5" customFormat="1" x14ac:dyDescent="0.25">
      <c r="A525" s="1"/>
      <c r="B525" s="4"/>
      <c r="C525" s="1"/>
      <c r="D525" s="3"/>
      <c r="E525" s="2"/>
      <c r="F525" s="73"/>
      <c r="G525" s="6"/>
    </row>
    <row r="526" spans="1:7" s="5" customFormat="1" x14ac:dyDescent="0.25">
      <c r="A526" s="1"/>
      <c r="B526" s="4"/>
      <c r="C526" s="1"/>
      <c r="D526" s="3"/>
      <c r="E526" s="2"/>
      <c r="F526" s="73"/>
      <c r="G526" s="6"/>
    </row>
    <row r="527" spans="1:7" s="5" customFormat="1" x14ac:dyDescent="0.25">
      <c r="A527" s="1"/>
      <c r="B527" s="4"/>
      <c r="C527" s="1"/>
      <c r="D527" s="3"/>
      <c r="E527" s="2"/>
      <c r="F527" s="73"/>
      <c r="G527" s="6"/>
    </row>
    <row r="528" spans="1:7" s="5" customFormat="1" x14ac:dyDescent="0.25">
      <c r="A528" s="1"/>
      <c r="B528" s="4"/>
      <c r="C528" s="1"/>
      <c r="D528" s="3"/>
      <c r="E528" s="2"/>
      <c r="F528" s="73"/>
      <c r="G528" s="6"/>
    </row>
    <row r="529" spans="1:7" s="5" customFormat="1" x14ac:dyDescent="0.25">
      <c r="A529" s="1"/>
      <c r="B529" s="4"/>
      <c r="C529" s="1"/>
      <c r="D529" s="3"/>
      <c r="E529" s="2"/>
      <c r="F529" s="73"/>
      <c r="G529" s="6"/>
    </row>
    <row r="530" spans="1:7" s="5" customFormat="1" x14ac:dyDescent="0.25">
      <c r="A530" s="1"/>
      <c r="B530" s="4"/>
      <c r="C530" s="1"/>
      <c r="D530" s="3"/>
      <c r="E530" s="2"/>
      <c r="F530" s="73"/>
      <c r="G530" s="6"/>
    </row>
    <row r="531" spans="1:7" s="5" customFormat="1" x14ac:dyDescent="0.25">
      <c r="A531" s="1"/>
      <c r="B531" s="4"/>
      <c r="C531" s="1"/>
      <c r="D531" s="3"/>
      <c r="E531" s="2"/>
      <c r="F531" s="73"/>
      <c r="G531" s="6"/>
    </row>
    <row r="532" spans="1:7" s="5" customFormat="1" x14ac:dyDescent="0.25">
      <c r="A532" s="1"/>
      <c r="B532" s="4"/>
      <c r="C532" s="1"/>
      <c r="D532" s="3"/>
      <c r="E532" s="2"/>
      <c r="F532" s="73"/>
      <c r="G532" s="6"/>
    </row>
    <row r="533" spans="1:7" s="5" customFormat="1" x14ac:dyDescent="0.25">
      <c r="A533" s="1"/>
      <c r="B533" s="4"/>
      <c r="C533" s="1"/>
      <c r="D533" s="3"/>
      <c r="E533" s="2"/>
      <c r="F533" s="73"/>
      <c r="G533" s="6"/>
    </row>
    <row r="534" spans="1:7" s="5" customFormat="1" x14ac:dyDescent="0.25">
      <c r="A534" s="1"/>
      <c r="B534" s="4"/>
      <c r="C534" s="1"/>
      <c r="D534" s="3"/>
      <c r="E534" s="2"/>
      <c r="F534" s="73"/>
      <c r="G534" s="6"/>
    </row>
    <row r="535" spans="1:7" s="5" customFormat="1" x14ac:dyDescent="0.25">
      <c r="A535" s="1"/>
      <c r="B535" s="4"/>
      <c r="C535" s="1"/>
      <c r="D535" s="3"/>
      <c r="E535" s="2"/>
      <c r="F535" s="73"/>
      <c r="G535" s="6"/>
    </row>
    <row r="536" spans="1:7" s="5" customFormat="1" x14ac:dyDescent="0.25">
      <c r="A536" s="1"/>
      <c r="B536" s="4"/>
      <c r="C536" s="1"/>
      <c r="D536" s="3"/>
      <c r="E536" s="2"/>
      <c r="F536" s="73"/>
      <c r="G536" s="6"/>
    </row>
    <row r="537" spans="1:7" s="5" customFormat="1" x14ac:dyDescent="0.25">
      <c r="A537" s="1"/>
      <c r="B537" s="4"/>
      <c r="C537" s="1"/>
      <c r="D537" s="3"/>
      <c r="E537" s="2"/>
      <c r="F537" s="73"/>
      <c r="G537" s="6"/>
    </row>
    <row r="538" spans="1:7" s="5" customFormat="1" x14ac:dyDescent="0.25">
      <c r="A538" s="1"/>
      <c r="B538" s="4"/>
      <c r="C538" s="1"/>
      <c r="D538" s="3"/>
      <c r="E538" s="2"/>
      <c r="F538" s="73"/>
      <c r="G538" s="6"/>
    </row>
    <row r="539" spans="1:7" s="5" customFormat="1" x14ac:dyDescent="0.25">
      <c r="A539" s="1"/>
      <c r="B539" s="4"/>
      <c r="C539" s="1"/>
      <c r="D539" s="3"/>
      <c r="E539" s="2"/>
      <c r="F539" s="73"/>
      <c r="G539" s="6"/>
    </row>
    <row r="540" spans="1:7" s="5" customFormat="1" x14ac:dyDescent="0.25">
      <c r="A540" s="1"/>
      <c r="B540" s="4"/>
      <c r="C540" s="1"/>
      <c r="D540" s="3"/>
      <c r="E540" s="2"/>
      <c r="F540" s="73"/>
      <c r="G540" s="6"/>
    </row>
    <row r="541" spans="1:7" s="5" customFormat="1" x14ac:dyDescent="0.25">
      <c r="A541" s="1"/>
      <c r="B541" s="4"/>
      <c r="C541" s="1"/>
      <c r="D541" s="3"/>
      <c r="E541" s="2"/>
      <c r="F541" s="73"/>
      <c r="G541" s="6"/>
    </row>
    <row r="542" spans="1:7" s="5" customFormat="1" x14ac:dyDescent="0.25">
      <c r="A542" s="1"/>
      <c r="B542" s="4"/>
      <c r="C542" s="1"/>
      <c r="D542" s="3"/>
      <c r="E542" s="2"/>
      <c r="F542" s="73"/>
      <c r="G542" s="6"/>
    </row>
    <row r="543" spans="1:7" s="5" customFormat="1" x14ac:dyDescent="0.25">
      <c r="A543" s="1"/>
      <c r="B543" s="4"/>
      <c r="C543" s="1"/>
      <c r="D543" s="3"/>
      <c r="E543" s="2"/>
      <c r="F543" s="73"/>
      <c r="G543" s="6"/>
    </row>
    <row r="544" spans="1:7" s="5" customFormat="1" x14ac:dyDescent="0.25">
      <c r="A544" s="1"/>
      <c r="B544" s="4"/>
      <c r="C544" s="1"/>
      <c r="D544" s="3"/>
      <c r="E544" s="2"/>
      <c r="F544" s="73"/>
      <c r="G544" s="6"/>
    </row>
    <row r="545" spans="1:13" s="5" customFormat="1" x14ac:dyDescent="0.25">
      <c r="A545" s="1"/>
      <c r="B545" s="4"/>
      <c r="C545" s="1"/>
      <c r="D545" s="3"/>
      <c r="E545" s="2"/>
      <c r="F545" s="73"/>
      <c r="G545" s="6"/>
    </row>
    <row r="546" spans="1:13" s="5" customFormat="1" x14ac:dyDescent="0.25">
      <c r="A546" s="1"/>
      <c r="B546" s="4"/>
      <c r="C546" s="1"/>
      <c r="D546" s="3"/>
      <c r="E546" s="2"/>
      <c r="F546" s="73"/>
      <c r="G546" s="12"/>
      <c r="H546" s="11"/>
      <c r="I546" s="11"/>
      <c r="J546" s="11"/>
      <c r="K546" s="11"/>
      <c r="L546" s="11"/>
      <c r="M546" s="11"/>
    </row>
    <row r="547" spans="1:13" s="5" customFormat="1" x14ac:dyDescent="0.25">
      <c r="A547" s="1"/>
      <c r="B547" s="4"/>
      <c r="C547" s="1"/>
      <c r="D547" s="3"/>
      <c r="E547" s="2"/>
      <c r="F547" s="73"/>
      <c r="G547" s="12"/>
      <c r="H547" s="11"/>
      <c r="I547" s="11"/>
      <c r="J547" s="11"/>
      <c r="K547" s="11"/>
      <c r="L547" s="11"/>
      <c r="M547" s="11"/>
    </row>
    <row r="548" spans="1:13" s="5" customFormat="1" x14ac:dyDescent="0.25">
      <c r="A548" s="1"/>
      <c r="B548" s="4"/>
      <c r="C548" s="1"/>
      <c r="D548" s="3"/>
      <c r="E548" s="2"/>
      <c r="F548" s="73"/>
      <c r="G548" s="12"/>
      <c r="H548" s="11"/>
      <c r="I548" s="11"/>
      <c r="J548" s="11"/>
      <c r="K548" s="11"/>
      <c r="L548" s="11"/>
      <c r="M548" s="11"/>
    </row>
    <row r="549" spans="1:13" s="5" customFormat="1" x14ac:dyDescent="0.25">
      <c r="A549" s="1"/>
      <c r="B549" s="4"/>
      <c r="C549" s="1"/>
      <c r="D549" s="3"/>
      <c r="E549" s="2"/>
      <c r="F549" s="73"/>
      <c r="G549" s="12"/>
      <c r="H549" s="11"/>
      <c r="I549" s="11"/>
      <c r="J549" s="11"/>
      <c r="K549" s="11"/>
      <c r="L549" s="11"/>
      <c r="M549" s="11"/>
    </row>
    <row r="550" spans="1:13" s="5" customFormat="1" x14ac:dyDescent="0.25">
      <c r="A550" s="1"/>
      <c r="B550" s="4"/>
      <c r="C550" s="1"/>
      <c r="D550" s="3"/>
      <c r="E550" s="2"/>
      <c r="F550" s="73"/>
      <c r="G550" s="12"/>
      <c r="H550" s="11"/>
      <c r="I550" s="11"/>
      <c r="J550" s="11"/>
      <c r="K550" s="11"/>
      <c r="L550" s="11"/>
      <c r="M550" s="11"/>
    </row>
    <row r="551" spans="1:13" s="5" customFormat="1" x14ac:dyDescent="0.25">
      <c r="A551" s="1"/>
      <c r="B551" s="4"/>
      <c r="C551" s="1"/>
      <c r="D551" s="3"/>
      <c r="E551" s="2"/>
      <c r="F551" s="73"/>
      <c r="G551" s="12"/>
      <c r="H551" s="11"/>
      <c r="I551" s="11"/>
      <c r="J551" s="11"/>
      <c r="K551" s="11"/>
      <c r="L551" s="11"/>
      <c r="M551" s="11"/>
    </row>
    <row r="552" spans="1:13" s="5" customFormat="1" x14ac:dyDescent="0.25">
      <c r="A552" s="1"/>
      <c r="B552" s="4"/>
      <c r="C552" s="1"/>
      <c r="D552" s="3"/>
      <c r="E552" s="2"/>
      <c r="F552" s="73"/>
      <c r="G552" s="12"/>
      <c r="H552" s="11"/>
      <c r="I552" s="11"/>
      <c r="J552" s="11"/>
      <c r="K552" s="11"/>
      <c r="L552" s="11"/>
      <c r="M552" s="11"/>
    </row>
    <row r="553" spans="1:13" s="5" customFormat="1" x14ac:dyDescent="0.25">
      <c r="A553" s="1"/>
      <c r="B553" s="4"/>
      <c r="C553" s="1"/>
      <c r="D553" s="3"/>
      <c r="E553" s="2"/>
      <c r="F553" s="73"/>
      <c r="G553" s="12"/>
      <c r="H553" s="11"/>
      <c r="I553" s="11"/>
      <c r="J553" s="11"/>
      <c r="K553" s="11"/>
      <c r="L553" s="11"/>
      <c r="M553" s="11"/>
    </row>
    <row r="554" spans="1:13" s="5" customFormat="1" x14ac:dyDescent="0.25">
      <c r="A554" s="1"/>
      <c r="B554" s="4"/>
      <c r="C554" s="1"/>
      <c r="D554" s="3"/>
      <c r="E554" s="2"/>
      <c r="F554" s="73"/>
      <c r="G554" s="12"/>
      <c r="H554" s="11"/>
      <c r="I554" s="11"/>
      <c r="J554" s="11"/>
      <c r="K554" s="11"/>
      <c r="L554" s="11"/>
      <c r="M554" s="11"/>
    </row>
    <row r="555" spans="1:13" s="5" customFormat="1" x14ac:dyDescent="0.25">
      <c r="A555" s="1"/>
      <c r="B555" s="4"/>
      <c r="C555" s="1"/>
      <c r="D555" s="3"/>
      <c r="E555" s="2"/>
      <c r="F555" s="73"/>
      <c r="G555" s="12"/>
      <c r="H555" s="11"/>
      <c r="I555" s="11"/>
      <c r="J555" s="11"/>
      <c r="K555" s="11"/>
      <c r="L555" s="11"/>
      <c r="M555" s="11"/>
    </row>
    <row r="556" spans="1:13" s="5" customFormat="1" x14ac:dyDescent="0.25">
      <c r="A556" s="1"/>
      <c r="B556" s="4"/>
      <c r="C556" s="1"/>
      <c r="D556" s="3"/>
      <c r="E556" s="2"/>
      <c r="F556" s="73"/>
      <c r="G556" s="12"/>
      <c r="H556" s="11"/>
      <c r="I556" s="11"/>
      <c r="J556" s="11"/>
      <c r="K556" s="11"/>
      <c r="L556" s="11"/>
      <c r="M556" s="11"/>
    </row>
    <row r="557" spans="1:13" s="5" customFormat="1" x14ac:dyDescent="0.25">
      <c r="A557" s="1"/>
      <c r="B557" s="4"/>
      <c r="C557" s="1"/>
      <c r="D557" s="3"/>
      <c r="E557" s="2"/>
      <c r="F557" s="73"/>
      <c r="G557" s="12"/>
      <c r="H557" s="11"/>
      <c r="I557" s="11"/>
      <c r="J557" s="11"/>
      <c r="K557" s="11"/>
      <c r="L557" s="11"/>
      <c r="M557" s="11"/>
    </row>
    <row r="558" spans="1:13" s="5" customFormat="1" x14ac:dyDescent="0.25">
      <c r="A558" s="1"/>
      <c r="B558" s="4"/>
      <c r="C558" s="1"/>
      <c r="D558" s="3"/>
      <c r="E558" s="2"/>
      <c r="F558" s="73"/>
      <c r="G558" s="12"/>
      <c r="H558" s="11"/>
      <c r="I558" s="11"/>
      <c r="J558" s="11"/>
      <c r="K558" s="11"/>
      <c r="L558" s="11"/>
      <c r="M558" s="11"/>
    </row>
    <row r="559" spans="1:13" s="5" customFormat="1" x14ac:dyDescent="0.25">
      <c r="A559" s="1"/>
      <c r="B559" s="4"/>
      <c r="C559" s="1"/>
      <c r="D559" s="3"/>
      <c r="E559" s="2"/>
      <c r="F559" s="73"/>
      <c r="G559" s="12"/>
      <c r="H559" s="11"/>
      <c r="I559" s="11"/>
      <c r="J559" s="11"/>
      <c r="K559" s="11"/>
      <c r="L559" s="11"/>
      <c r="M559" s="11"/>
    </row>
    <row r="560" spans="1:13" s="5" customFormat="1" x14ac:dyDescent="0.25">
      <c r="A560" s="1"/>
      <c r="B560" s="4"/>
      <c r="C560" s="1"/>
      <c r="D560" s="3"/>
      <c r="E560" s="2"/>
      <c r="F560" s="73"/>
      <c r="G560" s="12"/>
      <c r="H560" s="11"/>
      <c r="I560" s="11"/>
      <c r="J560" s="11"/>
      <c r="K560" s="11"/>
      <c r="L560" s="11"/>
      <c r="M560" s="11"/>
    </row>
    <row r="561" spans="1:13" s="5" customFormat="1" x14ac:dyDescent="0.25">
      <c r="A561" s="1"/>
      <c r="B561" s="4"/>
      <c r="C561" s="1"/>
      <c r="D561" s="3"/>
      <c r="E561" s="2"/>
      <c r="F561" s="73"/>
      <c r="G561" s="12"/>
      <c r="H561" s="11"/>
      <c r="I561" s="11"/>
      <c r="J561" s="11"/>
      <c r="K561" s="11"/>
      <c r="L561" s="11"/>
      <c r="M561" s="11"/>
    </row>
    <row r="562" spans="1:13" s="5" customFormat="1" x14ac:dyDescent="0.25">
      <c r="A562" s="1"/>
      <c r="B562" s="4"/>
      <c r="C562" s="1"/>
      <c r="D562" s="3"/>
      <c r="E562" s="2"/>
      <c r="F562" s="73"/>
      <c r="G562" s="12"/>
      <c r="H562" s="11"/>
      <c r="I562" s="11"/>
      <c r="J562" s="11"/>
      <c r="K562" s="11"/>
      <c r="L562" s="11"/>
      <c r="M562" s="11"/>
    </row>
    <row r="563" spans="1:13" s="5" customFormat="1" x14ac:dyDescent="0.25">
      <c r="A563" s="1"/>
      <c r="B563" s="4"/>
      <c r="C563" s="1"/>
      <c r="D563" s="3"/>
      <c r="E563" s="2"/>
      <c r="F563" s="73"/>
      <c r="G563" s="12"/>
      <c r="H563" s="11"/>
      <c r="I563" s="11"/>
      <c r="J563" s="11"/>
      <c r="K563" s="11"/>
      <c r="L563" s="11"/>
      <c r="M563" s="11"/>
    </row>
    <row r="564" spans="1:13" s="5" customFormat="1" x14ac:dyDescent="0.25">
      <c r="A564" s="1"/>
      <c r="B564" s="4"/>
      <c r="C564" s="1"/>
      <c r="D564" s="3"/>
      <c r="E564" s="2"/>
      <c r="F564" s="73"/>
      <c r="G564" s="12"/>
      <c r="H564" s="11"/>
      <c r="I564" s="11"/>
      <c r="J564" s="11"/>
      <c r="K564" s="11"/>
      <c r="L564" s="11"/>
      <c r="M564" s="11"/>
    </row>
    <row r="565" spans="1:13" s="5" customFormat="1" x14ac:dyDescent="0.25">
      <c r="A565" s="1"/>
      <c r="B565" s="4"/>
      <c r="C565" s="1"/>
      <c r="D565" s="3"/>
      <c r="E565" s="2"/>
      <c r="F565" s="73"/>
      <c r="G565" s="12"/>
      <c r="H565" s="11"/>
      <c r="I565" s="11"/>
      <c r="J565" s="11"/>
      <c r="K565" s="11"/>
      <c r="L565" s="11"/>
      <c r="M565" s="11"/>
    </row>
    <row r="566" spans="1:13" s="5" customFormat="1" x14ac:dyDescent="0.25">
      <c r="A566" s="1"/>
      <c r="B566" s="4"/>
      <c r="C566" s="1"/>
      <c r="D566" s="3"/>
      <c r="E566" s="2"/>
      <c r="F566" s="73"/>
      <c r="G566" s="12"/>
      <c r="H566" s="11"/>
      <c r="I566" s="11"/>
      <c r="J566" s="11"/>
      <c r="K566" s="11"/>
      <c r="L566" s="11"/>
      <c r="M566" s="11"/>
    </row>
    <row r="567" spans="1:13" s="5" customFormat="1" x14ac:dyDescent="0.25">
      <c r="A567" s="1"/>
      <c r="B567" s="4"/>
      <c r="C567" s="1"/>
      <c r="D567" s="3"/>
      <c r="E567" s="2"/>
      <c r="F567" s="73"/>
      <c r="G567" s="6"/>
    </row>
    <row r="568" spans="1:13" s="5" customFormat="1" x14ac:dyDescent="0.25">
      <c r="A568" s="1"/>
      <c r="B568" s="4"/>
      <c r="C568" s="1"/>
      <c r="D568" s="3"/>
      <c r="E568" s="2"/>
      <c r="F568" s="73"/>
      <c r="G568" s="6"/>
    </row>
    <row r="569" spans="1:13" s="5" customFormat="1" x14ac:dyDescent="0.25">
      <c r="A569" s="1"/>
      <c r="B569" s="4"/>
      <c r="C569" s="1"/>
      <c r="D569" s="3"/>
      <c r="E569" s="2"/>
      <c r="F569" s="73"/>
      <c r="G569" s="6"/>
    </row>
    <row r="570" spans="1:13" s="5" customFormat="1" x14ac:dyDescent="0.25">
      <c r="A570" s="1"/>
      <c r="B570" s="4"/>
      <c r="C570" s="1"/>
      <c r="D570" s="3"/>
      <c r="E570" s="2"/>
      <c r="F570" s="73"/>
      <c r="G570" s="6"/>
    </row>
    <row r="571" spans="1:13" s="5" customFormat="1" x14ac:dyDescent="0.25">
      <c r="A571" s="1"/>
      <c r="B571" s="4"/>
      <c r="C571" s="1"/>
      <c r="D571" s="3"/>
      <c r="E571" s="2"/>
      <c r="F571" s="73"/>
      <c r="G571" s="6"/>
    </row>
    <row r="572" spans="1:13" s="5" customFormat="1" x14ac:dyDescent="0.25">
      <c r="A572" s="1"/>
      <c r="B572" s="4"/>
      <c r="C572" s="1"/>
      <c r="D572" s="3"/>
      <c r="E572" s="2"/>
      <c r="F572" s="73"/>
      <c r="G572" s="6"/>
    </row>
    <row r="573" spans="1:13" s="5" customFormat="1" x14ac:dyDescent="0.25">
      <c r="A573" s="1"/>
      <c r="B573" s="4"/>
      <c r="C573" s="1"/>
      <c r="D573" s="3"/>
      <c r="E573" s="2"/>
      <c r="F573" s="73"/>
      <c r="G573" s="6"/>
    </row>
    <row r="574" spans="1:13" s="5" customFormat="1" x14ac:dyDescent="0.25">
      <c r="A574" s="1"/>
      <c r="B574" s="4"/>
      <c r="C574" s="1"/>
      <c r="D574" s="3"/>
      <c r="E574" s="2"/>
      <c r="F574" s="73"/>
      <c r="G574" s="6"/>
    </row>
    <row r="575" spans="1:13" s="5" customFormat="1" x14ac:dyDescent="0.25">
      <c r="A575" s="1"/>
      <c r="B575" s="4"/>
      <c r="C575" s="1"/>
      <c r="D575" s="3"/>
      <c r="E575" s="2"/>
      <c r="F575" s="73"/>
      <c r="G575" s="6"/>
    </row>
    <row r="576" spans="1:13" s="5" customFormat="1" x14ac:dyDescent="0.25">
      <c r="A576" s="1"/>
      <c r="B576" s="4"/>
      <c r="C576" s="1"/>
      <c r="D576" s="3"/>
      <c r="E576" s="2"/>
      <c r="F576" s="73"/>
      <c r="G576" s="6"/>
    </row>
    <row r="577" spans="1:7" s="5" customFormat="1" x14ac:dyDescent="0.25">
      <c r="A577" s="1"/>
      <c r="B577" s="4"/>
      <c r="C577" s="1"/>
      <c r="D577" s="3"/>
      <c r="E577" s="2"/>
      <c r="F577" s="73"/>
      <c r="G577" s="6"/>
    </row>
    <row r="578" spans="1:7" s="5" customFormat="1" x14ac:dyDescent="0.25">
      <c r="A578" s="1"/>
      <c r="B578" s="4"/>
      <c r="C578" s="1"/>
      <c r="D578" s="3"/>
      <c r="E578" s="2"/>
      <c r="F578" s="73"/>
      <c r="G578" s="6"/>
    </row>
    <row r="579" spans="1:7" s="5" customFormat="1" x14ac:dyDescent="0.25">
      <c r="A579" s="1"/>
      <c r="B579" s="4"/>
      <c r="C579" s="1"/>
      <c r="D579" s="3"/>
      <c r="E579" s="2"/>
      <c r="F579" s="73"/>
      <c r="G579" s="6"/>
    </row>
    <row r="580" spans="1:7" s="5" customFormat="1" x14ac:dyDescent="0.25">
      <c r="A580" s="1"/>
      <c r="B580" s="4"/>
      <c r="C580" s="1"/>
      <c r="D580" s="3"/>
      <c r="E580" s="2"/>
      <c r="F580" s="73"/>
      <c r="G580" s="6"/>
    </row>
    <row r="581" spans="1:7" s="5" customFormat="1" x14ac:dyDescent="0.25">
      <c r="A581" s="1"/>
      <c r="B581" s="4"/>
      <c r="C581" s="1"/>
      <c r="D581" s="3"/>
      <c r="E581" s="2"/>
      <c r="F581" s="73"/>
      <c r="G581" s="6"/>
    </row>
    <row r="582" spans="1:7" s="5" customFormat="1" x14ac:dyDescent="0.25">
      <c r="A582" s="1"/>
      <c r="B582" s="4"/>
      <c r="C582" s="1"/>
      <c r="D582" s="3"/>
      <c r="E582" s="2"/>
      <c r="F582" s="73"/>
      <c r="G582" s="6"/>
    </row>
    <row r="583" spans="1:7" s="5" customFormat="1" x14ac:dyDescent="0.25">
      <c r="A583" s="1"/>
      <c r="B583" s="4"/>
      <c r="C583" s="1"/>
      <c r="D583" s="3"/>
      <c r="E583" s="2"/>
      <c r="F583" s="73"/>
      <c r="G583" s="6"/>
    </row>
    <row r="584" spans="1:7" s="5" customFormat="1" x14ac:dyDescent="0.25">
      <c r="A584" s="1"/>
      <c r="B584" s="4"/>
      <c r="C584" s="1"/>
      <c r="D584" s="3"/>
      <c r="E584" s="2"/>
      <c r="F584" s="73"/>
      <c r="G584" s="6"/>
    </row>
    <row r="585" spans="1:7" s="5" customFormat="1" x14ac:dyDescent="0.25">
      <c r="A585" s="1"/>
      <c r="B585" s="4"/>
      <c r="C585" s="1"/>
      <c r="D585" s="3"/>
      <c r="E585" s="2"/>
      <c r="F585" s="73"/>
      <c r="G585" s="6"/>
    </row>
    <row r="586" spans="1:7" s="5" customFormat="1" x14ac:dyDescent="0.25">
      <c r="A586" s="1"/>
      <c r="B586" s="4"/>
      <c r="C586" s="1"/>
      <c r="D586" s="3"/>
      <c r="E586" s="2"/>
      <c r="F586" s="73"/>
      <c r="G586" s="6"/>
    </row>
    <row r="587" spans="1:7" s="5" customFormat="1" x14ac:dyDescent="0.25">
      <c r="A587" s="1"/>
      <c r="B587" s="4"/>
      <c r="C587" s="1"/>
      <c r="D587" s="3"/>
      <c r="E587" s="2"/>
      <c r="F587" s="73"/>
      <c r="G587" s="6"/>
    </row>
    <row r="588" spans="1:7" s="5" customFormat="1" x14ac:dyDescent="0.25">
      <c r="A588" s="1"/>
      <c r="B588" s="4"/>
      <c r="C588" s="1"/>
      <c r="D588" s="3"/>
      <c r="E588" s="2"/>
      <c r="F588" s="73"/>
      <c r="G588" s="6"/>
    </row>
    <row r="589" spans="1:7" s="5" customFormat="1" x14ac:dyDescent="0.25">
      <c r="A589" s="1"/>
      <c r="B589" s="4"/>
      <c r="C589" s="1"/>
      <c r="D589" s="3"/>
      <c r="E589" s="2"/>
      <c r="F589" s="73"/>
      <c r="G589" s="6"/>
    </row>
    <row r="590" spans="1:7" s="5" customFormat="1" x14ac:dyDescent="0.25">
      <c r="A590" s="1"/>
      <c r="B590" s="4"/>
      <c r="C590" s="1"/>
      <c r="D590" s="3"/>
      <c r="E590" s="2"/>
      <c r="F590" s="73"/>
      <c r="G590" s="6"/>
    </row>
    <row r="591" spans="1:7" s="5" customFormat="1" x14ac:dyDescent="0.25">
      <c r="A591" s="1"/>
      <c r="B591" s="4"/>
      <c r="C591" s="1"/>
      <c r="D591" s="3"/>
      <c r="E591" s="2"/>
      <c r="F591" s="73"/>
      <c r="G591" s="6"/>
    </row>
    <row r="592" spans="1:7" s="5" customFormat="1" x14ac:dyDescent="0.25">
      <c r="A592" s="1"/>
      <c r="B592" s="4"/>
      <c r="C592" s="1"/>
      <c r="D592" s="3"/>
      <c r="E592" s="2"/>
      <c r="F592" s="73"/>
      <c r="G592" s="6"/>
    </row>
    <row r="593" spans="1:14" s="5" customFormat="1" x14ac:dyDescent="0.25">
      <c r="A593" s="1"/>
      <c r="B593" s="4"/>
      <c r="C593" s="1"/>
      <c r="D593" s="3"/>
      <c r="E593" s="2"/>
      <c r="F593" s="73"/>
      <c r="G593" s="6"/>
    </row>
    <row r="594" spans="1:14" s="5" customFormat="1" x14ac:dyDescent="0.25">
      <c r="A594" s="1"/>
      <c r="B594" s="4"/>
      <c r="C594" s="1"/>
      <c r="D594" s="3"/>
      <c r="E594" s="2"/>
      <c r="F594" s="73"/>
      <c r="G594" s="6"/>
      <c r="N594" s="10"/>
    </row>
    <row r="595" spans="1:14" s="5" customFormat="1" x14ac:dyDescent="0.25">
      <c r="A595" s="1"/>
      <c r="B595" s="4"/>
      <c r="C595" s="1"/>
      <c r="D595" s="3"/>
      <c r="E595" s="2"/>
      <c r="F595" s="73"/>
      <c r="G595" s="6"/>
    </row>
    <row r="596" spans="1:14" s="5" customFormat="1" x14ac:dyDescent="0.25">
      <c r="A596" s="1"/>
      <c r="B596" s="4"/>
      <c r="C596" s="1"/>
      <c r="D596" s="3"/>
      <c r="E596" s="2"/>
      <c r="F596" s="73"/>
      <c r="G596" s="6"/>
    </row>
    <row r="597" spans="1:14" s="5" customFormat="1" x14ac:dyDescent="0.25">
      <c r="A597" s="1"/>
      <c r="B597" s="4"/>
      <c r="C597" s="1"/>
      <c r="D597" s="3"/>
      <c r="E597" s="2"/>
      <c r="F597" s="73"/>
      <c r="G597" s="6"/>
    </row>
    <row r="598" spans="1:14" s="5" customFormat="1" x14ac:dyDescent="0.25">
      <c r="A598" s="1"/>
      <c r="B598" s="4"/>
      <c r="C598" s="1"/>
      <c r="D598" s="3"/>
      <c r="E598" s="2"/>
      <c r="F598" s="73"/>
      <c r="G598" s="6"/>
    </row>
    <row r="599" spans="1:14" s="5" customFormat="1" x14ac:dyDescent="0.25">
      <c r="A599" s="1"/>
      <c r="B599" s="4"/>
      <c r="C599" s="1"/>
      <c r="D599" s="3"/>
      <c r="E599" s="2"/>
      <c r="F599" s="73"/>
      <c r="G599" s="6"/>
    </row>
    <row r="600" spans="1:14" s="5" customFormat="1" x14ac:dyDescent="0.25">
      <c r="A600" s="1"/>
      <c r="B600" s="4"/>
      <c r="C600" s="1"/>
      <c r="D600" s="3"/>
      <c r="E600" s="2"/>
      <c r="F600" s="73"/>
      <c r="G600" s="6"/>
    </row>
    <row r="601" spans="1:14" s="5" customFormat="1" x14ac:dyDescent="0.25">
      <c r="A601" s="1"/>
      <c r="B601" s="4"/>
      <c r="C601" s="1"/>
      <c r="D601" s="3"/>
      <c r="E601" s="2"/>
      <c r="F601" s="73"/>
      <c r="G601" s="6"/>
      <c r="N601" s="10"/>
    </row>
    <row r="602" spans="1:14" s="5" customFormat="1" x14ac:dyDescent="0.25">
      <c r="A602" s="1"/>
      <c r="B602" s="4"/>
      <c r="C602" s="1"/>
      <c r="D602" s="3"/>
      <c r="E602" s="2"/>
      <c r="F602" s="73"/>
      <c r="G602" s="6"/>
    </row>
    <row r="603" spans="1:14" s="5" customFormat="1" x14ac:dyDescent="0.25">
      <c r="A603" s="1"/>
      <c r="B603" s="4"/>
      <c r="C603" s="1"/>
      <c r="D603" s="3"/>
      <c r="E603" s="2"/>
      <c r="F603" s="73"/>
      <c r="G603" s="6"/>
    </row>
    <row r="604" spans="1:14" s="5" customFormat="1" x14ac:dyDescent="0.25">
      <c r="A604" s="1"/>
      <c r="B604" s="4"/>
      <c r="C604" s="1"/>
      <c r="D604" s="3"/>
      <c r="E604" s="2"/>
      <c r="F604" s="73"/>
      <c r="G604" s="6"/>
    </row>
    <row r="605" spans="1:14" s="5" customFormat="1" x14ac:dyDescent="0.25">
      <c r="A605" s="1"/>
      <c r="B605" s="4"/>
      <c r="C605" s="1"/>
      <c r="D605" s="3"/>
      <c r="E605" s="2"/>
      <c r="F605" s="73"/>
      <c r="G605" s="6"/>
    </row>
    <row r="606" spans="1:14" s="5" customFormat="1" x14ac:dyDescent="0.25">
      <c r="A606" s="1"/>
      <c r="B606" s="4"/>
      <c r="C606" s="1"/>
      <c r="D606" s="3"/>
      <c r="E606" s="2"/>
      <c r="F606" s="73"/>
      <c r="G606" s="6"/>
    </row>
    <row r="607" spans="1:14" s="5" customFormat="1" x14ac:dyDescent="0.25">
      <c r="A607" s="1"/>
      <c r="B607" s="4"/>
      <c r="C607" s="1"/>
      <c r="D607" s="3"/>
      <c r="E607" s="2"/>
      <c r="F607" s="73"/>
      <c r="G607" s="6"/>
    </row>
    <row r="608" spans="1:14" s="5" customFormat="1" x14ac:dyDescent="0.25">
      <c r="A608" s="1"/>
      <c r="B608" s="4"/>
      <c r="C608" s="1"/>
      <c r="D608" s="3"/>
      <c r="E608" s="2"/>
      <c r="F608" s="73"/>
      <c r="G608" s="6"/>
    </row>
    <row r="609" spans="1:7" s="5" customFormat="1" x14ac:dyDescent="0.25">
      <c r="A609" s="1"/>
      <c r="B609" s="4"/>
      <c r="C609" s="1"/>
      <c r="D609" s="3"/>
      <c r="E609" s="2"/>
      <c r="F609" s="73"/>
      <c r="G609" s="6"/>
    </row>
    <row r="610" spans="1:7" s="5" customFormat="1" x14ac:dyDescent="0.25">
      <c r="A610" s="1"/>
      <c r="B610" s="4"/>
      <c r="C610" s="1"/>
      <c r="D610" s="3"/>
      <c r="E610" s="2"/>
      <c r="F610" s="73"/>
      <c r="G610" s="6"/>
    </row>
    <row r="611" spans="1:7" s="5" customFormat="1" x14ac:dyDescent="0.25">
      <c r="A611" s="1"/>
      <c r="B611" s="4"/>
      <c r="C611" s="1"/>
      <c r="D611" s="3"/>
      <c r="E611" s="2"/>
      <c r="F611" s="73"/>
      <c r="G611" s="6"/>
    </row>
    <row r="612" spans="1:7" s="5" customFormat="1" x14ac:dyDescent="0.25">
      <c r="A612" s="1"/>
      <c r="B612" s="4"/>
      <c r="C612" s="1"/>
      <c r="D612" s="3"/>
      <c r="E612" s="2"/>
      <c r="F612" s="73"/>
      <c r="G612" s="6"/>
    </row>
    <row r="613" spans="1:7" s="5" customFormat="1" x14ac:dyDescent="0.25">
      <c r="A613" s="1"/>
      <c r="B613" s="4"/>
      <c r="C613" s="1"/>
      <c r="D613" s="3"/>
      <c r="E613" s="2"/>
      <c r="F613" s="73"/>
      <c r="G613" s="6"/>
    </row>
    <row r="614" spans="1:7" s="5" customFormat="1" x14ac:dyDescent="0.25">
      <c r="A614" s="1"/>
      <c r="B614" s="4"/>
      <c r="C614" s="1"/>
      <c r="D614" s="3"/>
      <c r="E614" s="2"/>
      <c r="F614" s="73"/>
      <c r="G614" s="6"/>
    </row>
    <row r="615" spans="1:7" s="5" customFormat="1" x14ac:dyDescent="0.25">
      <c r="A615" s="1"/>
      <c r="B615" s="4"/>
      <c r="C615" s="1"/>
      <c r="D615" s="3"/>
      <c r="E615" s="2"/>
      <c r="F615" s="73"/>
      <c r="G615" s="6"/>
    </row>
    <row r="616" spans="1:7" s="5" customFormat="1" x14ac:dyDescent="0.25">
      <c r="A616" s="1"/>
      <c r="B616" s="4"/>
      <c r="C616" s="1"/>
      <c r="D616" s="3"/>
      <c r="E616" s="2"/>
      <c r="F616" s="73"/>
      <c r="G616" s="6"/>
    </row>
    <row r="617" spans="1:7" s="5" customFormat="1" x14ac:dyDescent="0.25">
      <c r="A617" s="1"/>
      <c r="B617" s="4"/>
      <c r="C617" s="1"/>
      <c r="D617" s="3"/>
      <c r="E617" s="2"/>
      <c r="F617" s="73"/>
      <c r="G617" s="6"/>
    </row>
    <row r="618" spans="1:7" s="5" customFormat="1" x14ac:dyDescent="0.25">
      <c r="A618" s="1"/>
      <c r="B618" s="4"/>
      <c r="C618" s="1"/>
      <c r="D618" s="3"/>
      <c r="E618" s="2"/>
      <c r="F618" s="73"/>
      <c r="G618" s="6"/>
    </row>
    <row r="619" spans="1:7" s="5" customFormat="1" x14ac:dyDescent="0.25">
      <c r="A619" s="1"/>
      <c r="B619" s="4"/>
      <c r="C619" s="1"/>
      <c r="D619" s="3"/>
      <c r="E619" s="2"/>
      <c r="F619" s="73"/>
      <c r="G619" s="6"/>
    </row>
    <row r="620" spans="1:7" s="5" customFormat="1" x14ac:dyDescent="0.25">
      <c r="A620" s="1"/>
      <c r="B620" s="4"/>
      <c r="C620" s="1"/>
      <c r="D620" s="3"/>
      <c r="E620" s="2"/>
      <c r="F620" s="73"/>
      <c r="G620" s="6"/>
    </row>
    <row r="621" spans="1:7" s="5" customFormat="1" x14ac:dyDescent="0.25">
      <c r="A621" s="1"/>
      <c r="B621" s="4"/>
      <c r="C621" s="1"/>
      <c r="D621" s="3"/>
      <c r="E621" s="2"/>
      <c r="F621" s="73"/>
      <c r="G621" s="6"/>
    </row>
    <row r="622" spans="1:7" s="5" customFormat="1" x14ac:dyDescent="0.25">
      <c r="A622" s="1"/>
      <c r="B622" s="4"/>
      <c r="C622" s="1"/>
      <c r="D622" s="3"/>
      <c r="E622" s="2"/>
      <c r="F622" s="73"/>
      <c r="G622" s="6"/>
    </row>
    <row r="623" spans="1:7" s="5" customFormat="1" x14ac:dyDescent="0.25">
      <c r="A623" s="1"/>
      <c r="B623" s="4"/>
      <c r="C623" s="1"/>
      <c r="D623" s="3"/>
      <c r="E623" s="2"/>
      <c r="F623" s="73"/>
      <c r="G623" s="6"/>
    </row>
    <row r="624" spans="1:7" s="5" customFormat="1" x14ac:dyDescent="0.25">
      <c r="A624" s="1"/>
      <c r="B624" s="4"/>
      <c r="C624" s="1"/>
      <c r="D624" s="3"/>
      <c r="E624" s="2"/>
      <c r="F624" s="73"/>
      <c r="G624" s="6"/>
    </row>
    <row r="625" spans="1:15" s="5" customFormat="1" x14ac:dyDescent="0.25">
      <c r="A625" s="1"/>
      <c r="B625" s="4"/>
      <c r="C625" s="1"/>
      <c r="D625" s="3"/>
      <c r="E625" s="2"/>
      <c r="F625" s="73"/>
      <c r="G625" s="6"/>
    </row>
    <row r="626" spans="1:15" s="5" customFormat="1" x14ac:dyDescent="0.25">
      <c r="A626" s="1"/>
      <c r="B626" s="4"/>
      <c r="C626" s="1"/>
      <c r="D626" s="3"/>
      <c r="E626" s="2"/>
      <c r="F626" s="73"/>
      <c r="G626" s="6"/>
    </row>
    <row r="627" spans="1:15" s="5" customFormat="1" x14ac:dyDescent="0.25">
      <c r="A627" s="1"/>
      <c r="B627" s="4"/>
      <c r="C627" s="1"/>
      <c r="D627" s="3"/>
      <c r="E627" s="2"/>
      <c r="F627" s="73"/>
      <c r="G627" s="6"/>
    </row>
    <row r="628" spans="1:15" s="5" customFormat="1" x14ac:dyDescent="0.25">
      <c r="A628" s="1"/>
      <c r="B628" s="4"/>
      <c r="C628" s="1"/>
      <c r="D628" s="3"/>
      <c r="E628" s="2"/>
      <c r="F628" s="73"/>
      <c r="G628" s="6"/>
      <c r="O628" s="9"/>
    </row>
    <row r="629" spans="1:15" s="5" customFormat="1" x14ac:dyDescent="0.25">
      <c r="A629" s="1"/>
      <c r="B629" s="4"/>
      <c r="C629" s="1"/>
      <c r="D629" s="3"/>
      <c r="E629" s="2"/>
      <c r="F629" s="73"/>
      <c r="G629" s="6"/>
    </row>
    <row r="630" spans="1:15" s="5" customFormat="1" x14ac:dyDescent="0.25">
      <c r="A630" s="1"/>
      <c r="B630" s="4"/>
      <c r="C630" s="1"/>
      <c r="D630" s="3"/>
      <c r="E630" s="2"/>
      <c r="F630" s="73"/>
      <c r="G630" s="6"/>
    </row>
    <row r="631" spans="1:15" s="5" customFormat="1" x14ac:dyDescent="0.25">
      <c r="A631" s="1"/>
      <c r="B631" s="4"/>
      <c r="C631" s="1"/>
      <c r="D631" s="3"/>
      <c r="E631" s="2"/>
      <c r="F631" s="73"/>
      <c r="G631" s="6"/>
    </row>
    <row r="632" spans="1:15" s="5" customFormat="1" x14ac:dyDescent="0.25">
      <c r="A632" s="1"/>
      <c r="B632" s="4"/>
      <c r="C632" s="1"/>
      <c r="D632" s="3"/>
      <c r="E632" s="2"/>
      <c r="F632" s="73"/>
      <c r="G632" s="6"/>
    </row>
    <row r="633" spans="1:15" s="5" customFormat="1" x14ac:dyDescent="0.25">
      <c r="A633" s="1"/>
      <c r="B633" s="4"/>
      <c r="C633" s="1"/>
      <c r="D633" s="3"/>
      <c r="E633" s="2"/>
      <c r="F633" s="73"/>
      <c r="G633" s="6"/>
    </row>
    <row r="634" spans="1:15" s="5" customFormat="1" x14ac:dyDescent="0.25">
      <c r="A634" s="1"/>
      <c r="B634" s="4"/>
      <c r="C634" s="1"/>
      <c r="D634" s="3"/>
      <c r="E634" s="2"/>
      <c r="F634" s="73"/>
      <c r="G634" s="6"/>
    </row>
    <row r="635" spans="1:15" s="5" customFormat="1" x14ac:dyDescent="0.25">
      <c r="A635" s="1"/>
      <c r="B635" s="4"/>
      <c r="C635" s="1"/>
      <c r="D635" s="3"/>
      <c r="E635" s="2"/>
      <c r="F635" s="73"/>
      <c r="G635" s="6"/>
    </row>
    <row r="636" spans="1:15" s="5" customFormat="1" x14ac:dyDescent="0.25">
      <c r="A636" s="1"/>
      <c r="B636" s="4"/>
      <c r="C636" s="1"/>
      <c r="D636" s="3"/>
      <c r="E636" s="2"/>
      <c r="F636" s="73"/>
      <c r="G636" s="6"/>
    </row>
    <row r="637" spans="1:15" s="5" customFormat="1" x14ac:dyDescent="0.25">
      <c r="A637" s="1"/>
      <c r="B637" s="4"/>
      <c r="C637" s="1"/>
      <c r="D637" s="3"/>
      <c r="E637" s="2"/>
      <c r="F637" s="73"/>
      <c r="G637" s="6"/>
    </row>
    <row r="638" spans="1:15" s="5" customFormat="1" x14ac:dyDescent="0.25">
      <c r="A638" s="1"/>
      <c r="B638" s="4"/>
      <c r="C638" s="1"/>
      <c r="D638" s="3"/>
      <c r="E638" s="2"/>
      <c r="F638" s="73"/>
      <c r="G638" s="6"/>
    </row>
    <row r="639" spans="1:15" s="5" customFormat="1" x14ac:dyDescent="0.25">
      <c r="A639" s="1"/>
      <c r="B639" s="4"/>
      <c r="C639" s="1"/>
      <c r="D639" s="3"/>
      <c r="E639" s="2"/>
      <c r="F639" s="73"/>
      <c r="G639" s="6"/>
    </row>
    <row r="640" spans="1:15" s="5" customFormat="1" x14ac:dyDescent="0.25">
      <c r="A640" s="1"/>
      <c r="B640" s="4"/>
      <c r="C640" s="1"/>
      <c r="D640" s="3"/>
      <c r="E640" s="2"/>
      <c r="F640" s="73"/>
      <c r="G640" s="6"/>
    </row>
    <row r="641" spans="1:7" s="5" customFormat="1" x14ac:dyDescent="0.25">
      <c r="A641" s="1"/>
      <c r="B641" s="4"/>
      <c r="C641" s="1"/>
      <c r="D641" s="3"/>
      <c r="E641" s="2"/>
      <c r="F641" s="73"/>
      <c r="G641" s="6"/>
    </row>
    <row r="642" spans="1:7" s="5" customFormat="1" x14ac:dyDescent="0.25">
      <c r="A642" s="1"/>
      <c r="B642" s="4"/>
      <c r="C642" s="1"/>
      <c r="D642" s="3"/>
      <c r="E642" s="2"/>
      <c r="F642" s="73"/>
      <c r="G642" s="6"/>
    </row>
    <row r="643" spans="1:7" s="5" customFormat="1" x14ac:dyDescent="0.25">
      <c r="A643" s="1"/>
      <c r="B643" s="4"/>
      <c r="C643" s="1"/>
      <c r="D643" s="3"/>
      <c r="E643" s="2"/>
      <c r="F643" s="73"/>
      <c r="G643" s="6"/>
    </row>
    <row r="644" spans="1:7" s="5" customFormat="1" x14ac:dyDescent="0.25">
      <c r="A644" s="1"/>
      <c r="B644" s="4"/>
      <c r="C644" s="1"/>
      <c r="D644" s="3"/>
      <c r="E644" s="2"/>
      <c r="F644" s="73"/>
      <c r="G644" s="6"/>
    </row>
    <row r="645" spans="1:7" s="5" customFormat="1" x14ac:dyDescent="0.25">
      <c r="A645" s="1"/>
      <c r="B645" s="4"/>
      <c r="C645" s="1"/>
      <c r="D645" s="3"/>
      <c r="E645" s="2"/>
      <c r="F645" s="73"/>
      <c r="G645" s="6"/>
    </row>
    <row r="646" spans="1:7" s="5" customFormat="1" x14ac:dyDescent="0.25">
      <c r="A646" s="1"/>
      <c r="B646" s="4"/>
      <c r="C646" s="1"/>
      <c r="D646" s="3"/>
      <c r="E646" s="2"/>
      <c r="F646" s="73"/>
      <c r="G646" s="6"/>
    </row>
    <row r="647" spans="1:7" s="5" customFormat="1" x14ac:dyDescent="0.25">
      <c r="A647" s="1"/>
      <c r="B647" s="4"/>
      <c r="C647" s="1"/>
      <c r="D647" s="3"/>
      <c r="E647" s="2"/>
      <c r="F647" s="73"/>
      <c r="G647" s="6"/>
    </row>
    <row r="648" spans="1:7" s="5" customFormat="1" x14ac:dyDescent="0.25">
      <c r="A648" s="1"/>
      <c r="B648" s="4"/>
      <c r="C648" s="1"/>
      <c r="D648" s="3"/>
      <c r="E648" s="2"/>
      <c r="F648" s="73"/>
      <c r="G648" s="6"/>
    </row>
    <row r="649" spans="1:7" s="5" customFormat="1" x14ac:dyDescent="0.25">
      <c r="A649" s="1"/>
      <c r="B649" s="4"/>
      <c r="C649" s="1"/>
      <c r="D649" s="3"/>
      <c r="E649" s="2"/>
      <c r="F649" s="73"/>
      <c r="G649" s="6"/>
    </row>
    <row r="650" spans="1:7" s="5" customFormat="1" x14ac:dyDescent="0.25">
      <c r="A650" s="1"/>
      <c r="B650" s="4"/>
      <c r="C650" s="1"/>
      <c r="D650" s="3"/>
      <c r="E650" s="2"/>
      <c r="F650" s="73"/>
      <c r="G650" s="6"/>
    </row>
    <row r="651" spans="1:7" s="5" customFormat="1" x14ac:dyDescent="0.25">
      <c r="A651" s="1"/>
      <c r="B651" s="4"/>
      <c r="C651" s="1"/>
      <c r="D651" s="3"/>
      <c r="E651" s="2"/>
      <c r="F651" s="73"/>
      <c r="G651" s="6"/>
    </row>
    <row r="652" spans="1:7" s="5" customFormat="1" x14ac:dyDescent="0.25">
      <c r="A652" s="1"/>
      <c r="B652" s="4"/>
      <c r="C652" s="1"/>
      <c r="D652" s="3"/>
      <c r="E652" s="2"/>
      <c r="F652" s="73"/>
      <c r="G652" s="6"/>
    </row>
    <row r="653" spans="1:7" s="5" customFormat="1" x14ac:dyDescent="0.25">
      <c r="A653" s="1"/>
      <c r="B653" s="4"/>
      <c r="C653" s="1"/>
      <c r="D653" s="3"/>
      <c r="E653" s="2"/>
      <c r="F653" s="73"/>
      <c r="G653" s="6"/>
    </row>
    <row r="654" spans="1:7" s="5" customFormat="1" x14ac:dyDescent="0.25">
      <c r="A654" s="1"/>
      <c r="B654" s="4"/>
      <c r="C654" s="1"/>
      <c r="D654" s="3"/>
      <c r="E654" s="2"/>
      <c r="F654" s="73"/>
      <c r="G654" s="6"/>
    </row>
    <row r="655" spans="1:7" s="5" customFormat="1" x14ac:dyDescent="0.25">
      <c r="A655" s="1"/>
      <c r="B655" s="4"/>
      <c r="C655" s="1"/>
      <c r="D655" s="3"/>
      <c r="E655" s="2"/>
      <c r="F655" s="73"/>
      <c r="G655" s="6"/>
    </row>
    <row r="656" spans="1:7" s="5" customFormat="1" x14ac:dyDescent="0.25">
      <c r="A656" s="1"/>
      <c r="B656" s="4"/>
      <c r="C656" s="1"/>
      <c r="D656" s="3"/>
      <c r="E656" s="2"/>
      <c r="F656" s="73"/>
      <c r="G656" s="6"/>
    </row>
    <row r="657" spans="1:7" s="5" customFormat="1" x14ac:dyDescent="0.25">
      <c r="A657" s="1"/>
      <c r="B657" s="4"/>
      <c r="C657" s="1"/>
      <c r="D657" s="3"/>
      <c r="E657" s="2"/>
      <c r="F657" s="73"/>
      <c r="G657" s="6"/>
    </row>
    <row r="658" spans="1:7" s="5" customFormat="1" x14ac:dyDescent="0.25">
      <c r="A658" s="1"/>
      <c r="B658" s="4"/>
      <c r="C658" s="1"/>
      <c r="D658" s="3"/>
      <c r="E658" s="2"/>
      <c r="F658" s="73"/>
      <c r="G658" s="6"/>
    </row>
    <row r="659" spans="1:7" s="5" customFormat="1" x14ac:dyDescent="0.25">
      <c r="A659" s="1"/>
      <c r="B659" s="4"/>
      <c r="C659" s="1"/>
      <c r="D659" s="3"/>
      <c r="E659" s="2"/>
      <c r="F659" s="73"/>
      <c r="G659" s="6"/>
    </row>
    <row r="660" spans="1:7" s="5" customFormat="1" x14ac:dyDescent="0.25">
      <c r="A660" s="1"/>
      <c r="B660" s="4"/>
      <c r="C660" s="1"/>
      <c r="D660" s="3"/>
      <c r="E660" s="2"/>
      <c r="F660" s="73"/>
      <c r="G660" s="6"/>
    </row>
    <row r="661" spans="1:7" s="5" customFormat="1" x14ac:dyDescent="0.25">
      <c r="A661" s="1"/>
      <c r="B661" s="4"/>
      <c r="C661" s="1"/>
      <c r="D661" s="3"/>
      <c r="E661" s="2"/>
      <c r="F661" s="73"/>
      <c r="G661" s="6"/>
    </row>
    <row r="662" spans="1:7" s="5" customFormat="1" x14ac:dyDescent="0.25">
      <c r="A662" s="1"/>
      <c r="B662" s="4"/>
      <c r="C662" s="1"/>
      <c r="D662" s="3"/>
      <c r="E662" s="2"/>
      <c r="F662" s="73"/>
      <c r="G662" s="6"/>
    </row>
    <row r="663" spans="1:7" s="5" customFormat="1" x14ac:dyDescent="0.25">
      <c r="A663" s="1"/>
      <c r="B663" s="4"/>
      <c r="C663" s="1"/>
      <c r="D663" s="3"/>
      <c r="E663" s="2"/>
      <c r="F663" s="73"/>
      <c r="G663" s="6"/>
    </row>
    <row r="664" spans="1:7" s="5" customFormat="1" x14ac:dyDescent="0.25">
      <c r="A664" s="1"/>
      <c r="B664" s="4"/>
      <c r="C664" s="1"/>
      <c r="D664" s="3"/>
      <c r="E664" s="2"/>
      <c r="F664" s="73"/>
      <c r="G664" s="6"/>
    </row>
    <row r="665" spans="1:7" s="5" customFormat="1" x14ac:dyDescent="0.25">
      <c r="A665" s="1"/>
      <c r="B665" s="4"/>
      <c r="C665" s="1"/>
      <c r="D665" s="3"/>
      <c r="E665" s="2"/>
      <c r="F665" s="73"/>
      <c r="G665" s="6"/>
    </row>
    <row r="666" spans="1:7" s="5" customFormat="1" x14ac:dyDescent="0.25">
      <c r="A666" s="1"/>
      <c r="B666" s="4"/>
      <c r="C666" s="1"/>
      <c r="D666" s="3"/>
      <c r="E666" s="2"/>
      <c r="F666" s="73"/>
      <c r="G666" s="6"/>
    </row>
    <row r="667" spans="1:7" s="5" customFormat="1" x14ac:dyDescent="0.25">
      <c r="A667" s="1"/>
      <c r="B667" s="4"/>
      <c r="C667" s="1"/>
      <c r="D667" s="3"/>
      <c r="E667" s="2"/>
      <c r="F667" s="73"/>
      <c r="G667" s="6"/>
    </row>
    <row r="668" spans="1:7" s="5" customFormat="1" x14ac:dyDescent="0.25">
      <c r="A668" s="1"/>
      <c r="B668" s="4"/>
      <c r="C668" s="1"/>
      <c r="D668" s="3"/>
      <c r="E668" s="2"/>
      <c r="F668" s="73"/>
      <c r="G668" s="6"/>
    </row>
    <row r="669" spans="1:7" s="5" customFormat="1" x14ac:dyDescent="0.25">
      <c r="A669" s="1"/>
      <c r="B669" s="4"/>
      <c r="C669" s="1"/>
      <c r="D669" s="3"/>
      <c r="E669" s="2"/>
      <c r="F669" s="73"/>
      <c r="G669" s="6"/>
    </row>
    <row r="670" spans="1:7" s="5" customFormat="1" x14ac:dyDescent="0.25">
      <c r="A670" s="1"/>
      <c r="B670" s="4"/>
      <c r="C670" s="1"/>
      <c r="D670" s="3"/>
      <c r="E670" s="2"/>
      <c r="F670" s="73"/>
      <c r="G670" s="6"/>
    </row>
    <row r="671" spans="1:7" s="5" customFormat="1" x14ac:dyDescent="0.25">
      <c r="A671" s="1"/>
      <c r="B671" s="4"/>
      <c r="C671" s="1"/>
      <c r="D671" s="3"/>
      <c r="E671" s="2"/>
      <c r="F671" s="73"/>
      <c r="G671" s="6"/>
    </row>
    <row r="672" spans="1:7" s="5" customFormat="1" x14ac:dyDescent="0.25">
      <c r="A672" s="1"/>
      <c r="B672" s="4"/>
      <c r="C672" s="1"/>
      <c r="D672" s="3"/>
      <c r="E672" s="2"/>
      <c r="F672" s="73"/>
      <c r="G672" s="6"/>
    </row>
    <row r="673" spans="1:7" s="5" customFormat="1" x14ac:dyDescent="0.25">
      <c r="A673" s="1"/>
      <c r="B673" s="4"/>
      <c r="C673" s="1"/>
      <c r="D673" s="3"/>
      <c r="E673" s="2"/>
      <c r="F673" s="73"/>
      <c r="G673" s="6"/>
    </row>
    <row r="674" spans="1:7" s="5" customFormat="1" x14ac:dyDescent="0.25">
      <c r="A674" s="1"/>
      <c r="B674" s="4"/>
      <c r="C674" s="1"/>
      <c r="D674" s="3"/>
      <c r="E674" s="2"/>
      <c r="F674" s="73"/>
      <c r="G674" s="6"/>
    </row>
    <row r="675" spans="1:7" s="5" customFormat="1" x14ac:dyDescent="0.25">
      <c r="A675" s="1"/>
      <c r="B675" s="4"/>
      <c r="C675" s="1"/>
      <c r="D675" s="3"/>
      <c r="E675" s="2"/>
      <c r="F675" s="73"/>
      <c r="G675" s="6"/>
    </row>
    <row r="676" spans="1:7" s="5" customFormat="1" x14ac:dyDescent="0.25">
      <c r="A676" s="1"/>
      <c r="B676" s="4"/>
      <c r="C676" s="1"/>
      <c r="D676" s="3"/>
      <c r="E676" s="2"/>
      <c r="F676" s="73"/>
      <c r="G676" s="6"/>
    </row>
    <row r="677" spans="1:7" s="5" customFormat="1" x14ac:dyDescent="0.25">
      <c r="A677" s="1"/>
      <c r="B677" s="4"/>
      <c r="C677" s="1"/>
      <c r="D677" s="3"/>
      <c r="E677" s="2"/>
      <c r="F677" s="73"/>
      <c r="G677" s="6"/>
    </row>
    <row r="678" spans="1:7" s="5" customFormat="1" x14ac:dyDescent="0.25">
      <c r="A678" s="1"/>
      <c r="B678" s="4"/>
      <c r="C678" s="1"/>
      <c r="D678" s="3"/>
      <c r="E678" s="2"/>
      <c r="F678" s="73"/>
      <c r="G678" s="6"/>
    </row>
    <row r="679" spans="1:7" s="5" customFormat="1" x14ac:dyDescent="0.25">
      <c r="A679" s="1"/>
      <c r="B679" s="4"/>
      <c r="C679" s="1"/>
      <c r="D679" s="3"/>
      <c r="E679" s="2"/>
      <c r="F679" s="73"/>
      <c r="G679" s="6"/>
    </row>
    <row r="680" spans="1:7" s="5" customFormat="1" x14ac:dyDescent="0.25">
      <c r="A680" s="1"/>
      <c r="B680" s="4"/>
      <c r="C680" s="1"/>
      <c r="D680" s="3"/>
      <c r="E680" s="2"/>
      <c r="F680" s="73"/>
      <c r="G680" s="6"/>
    </row>
    <row r="681" spans="1:7" s="5" customFormat="1" x14ac:dyDescent="0.25">
      <c r="A681" s="1"/>
      <c r="B681" s="4"/>
      <c r="C681" s="1"/>
      <c r="D681" s="3"/>
      <c r="E681" s="2"/>
      <c r="F681" s="73"/>
      <c r="G681" s="6"/>
    </row>
    <row r="682" spans="1:7" s="5" customFormat="1" x14ac:dyDescent="0.25">
      <c r="A682" s="1"/>
      <c r="B682" s="4"/>
      <c r="C682" s="1"/>
      <c r="D682" s="3"/>
      <c r="E682" s="2"/>
      <c r="F682" s="73"/>
      <c r="G682" s="6"/>
    </row>
    <row r="683" spans="1:7" s="5" customFormat="1" x14ac:dyDescent="0.25">
      <c r="A683" s="1"/>
      <c r="B683" s="4"/>
      <c r="C683" s="1"/>
      <c r="D683" s="3"/>
      <c r="E683" s="2"/>
      <c r="F683" s="73"/>
      <c r="G683" s="6"/>
    </row>
    <row r="684" spans="1:7" s="5" customFormat="1" x14ac:dyDescent="0.25">
      <c r="A684" s="1"/>
      <c r="B684" s="4"/>
      <c r="C684" s="1"/>
      <c r="D684" s="3"/>
      <c r="E684" s="2"/>
      <c r="F684" s="73"/>
      <c r="G684" s="6"/>
    </row>
    <row r="685" spans="1:7" s="5" customFormat="1" x14ac:dyDescent="0.25">
      <c r="A685" s="1"/>
      <c r="B685" s="4"/>
      <c r="C685" s="1"/>
      <c r="D685" s="3"/>
      <c r="E685" s="2"/>
      <c r="F685" s="73"/>
      <c r="G685" s="6"/>
    </row>
    <row r="686" spans="1:7" s="5" customFormat="1" x14ac:dyDescent="0.25">
      <c r="A686" s="1"/>
      <c r="B686" s="4"/>
      <c r="C686" s="1"/>
      <c r="D686" s="3"/>
      <c r="E686" s="2"/>
      <c r="F686" s="73"/>
      <c r="G686" s="6"/>
    </row>
    <row r="687" spans="1:7" s="5" customFormat="1" x14ac:dyDescent="0.25">
      <c r="A687" s="1"/>
      <c r="B687" s="4"/>
      <c r="C687" s="1"/>
      <c r="D687" s="3"/>
      <c r="E687" s="2"/>
      <c r="F687" s="73"/>
      <c r="G687" s="6"/>
    </row>
    <row r="688" spans="1:7" s="5" customFormat="1" x14ac:dyDescent="0.25">
      <c r="A688" s="1"/>
      <c r="B688" s="4"/>
      <c r="C688" s="1"/>
      <c r="D688" s="3"/>
      <c r="E688" s="2"/>
      <c r="F688" s="73"/>
    </row>
    <row r="689" spans="1:7" s="5" customFormat="1" x14ac:dyDescent="0.25">
      <c r="A689" s="1"/>
      <c r="B689" s="4"/>
      <c r="C689" s="1"/>
      <c r="D689" s="3"/>
      <c r="E689" s="2"/>
      <c r="F689" s="73"/>
    </row>
    <row r="690" spans="1:7" s="5" customFormat="1" ht="15" x14ac:dyDescent="0.25">
      <c r="A690" s="1"/>
      <c r="B690" s="4"/>
      <c r="C690" s="1"/>
      <c r="D690" s="3"/>
      <c r="E690" s="2"/>
      <c r="F690" s="73"/>
      <c r="G690" s="8"/>
    </row>
    <row r="727" spans="1:7" s="5" customFormat="1" x14ac:dyDescent="0.25">
      <c r="A727" s="1"/>
      <c r="B727" s="4"/>
      <c r="C727" s="1"/>
      <c r="D727" s="3"/>
      <c r="E727" s="2"/>
      <c r="F727" s="73"/>
      <c r="G727" s="6"/>
    </row>
    <row r="728" spans="1:7" s="5" customFormat="1" x14ac:dyDescent="0.25">
      <c r="A728" s="1"/>
      <c r="B728" s="4"/>
      <c r="C728" s="1"/>
      <c r="D728" s="3"/>
      <c r="E728" s="2"/>
      <c r="F728" s="73"/>
      <c r="G728" s="6"/>
    </row>
    <row r="729" spans="1:7" s="5" customFormat="1" x14ac:dyDescent="0.25">
      <c r="A729" s="1"/>
      <c r="B729" s="4"/>
      <c r="C729" s="1"/>
      <c r="D729" s="3"/>
      <c r="E729" s="2"/>
      <c r="F729" s="73"/>
      <c r="G729" s="6"/>
    </row>
    <row r="730" spans="1:7" s="5" customFormat="1" x14ac:dyDescent="0.25">
      <c r="A730" s="1"/>
      <c r="B730" s="4"/>
      <c r="C730" s="1"/>
      <c r="D730" s="3"/>
      <c r="E730" s="2"/>
      <c r="F730" s="73"/>
      <c r="G730" s="6"/>
    </row>
    <row r="731" spans="1:7" s="5" customFormat="1" ht="15" x14ac:dyDescent="0.25">
      <c r="A731" s="1"/>
      <c r="B731" s="4"/>
      <c r="C731" s="1"/>
      <c r="D731" s="3"/>
      <c r="E731" s="2"/>
      <c r="F731" s="73"/>
      <c r="G731" s="8"/>
    </row>
    <row r="732" spans="1:7" s="5" customFormat="1" x14ac:dyDescent="0.25">
      <c r="A732" s="1"/>
      <c r="B732" s="4"/>
      <c r="C732" s="1"/>
      <c r="D732" s="3"/>
      <c r="E732" s="2"/>
      <c r="F732" s="73"/>
    </row>
    <row r="733" spans="1:7" s="5" customFormat="1" ht="15" x14ac:dyDescent="0.25">
      <c r="A733" s="1"/>
      <c r="B733" s="4"/>
      <c r="C733" s="1"/>
      <c r="D733" s="3"/>
      <c r="E733" s="2"/>
      <c r="F733" s="73"/>
      <c r="G733" s="8"/>
    </row>
    <row r="734" spans="1:7" s="5" customFormat="1" ht="15" x14ac:dyDescent="0.25">
      <c r="A734" s="1"/>
      <c r="B734" s="4"/>
      <c r="C734" s="1"/>
      <c r="D734" s="3"/>
      <c r="E734" s="2"/>
      <c r="F734" s="73"/>
      <c r="G734" s="8"/>
    </row>
    <row r="735" spans="1:7" s="5" customFormat="1" x14ac:dyDescent="0.25">
      <c r="A735" s="1"/>
      <c r="B735" s="4"/>
      <c r="C735" s="1"/>
      <c r="D735" s="3"/>
      <c r="E735" s="2"/>
      <c r="F735" s="73"/>
      <c r="G735" s="7"/>
    </row>
    <row r="736" spans="1:7" s="5" customFormat="1" ht="15" x14ac:dyDescent="0.25">
      <c r="A736" s="1"/>
      <c r="B736" s="4"/>
      <c r="C736" s="1"/>
      <c r="D736" s="3"/>
      <c r="E736" s="2"/>
      <c r="F736" s="73"/>
      <c r="G736" s="8"/>
    </row>
    <row r="774" spans="1:7" s="5" customFormat="1" x14ac:dyDescent="0.25">
      <c r="A774" s="1"/>
      <c r="B774" s="4"/>
      <c r="C774" s="1"/>
      <c r="D774" s="3"/>
      <c r="E774" s="2"/>
      <c r="F774" s="73"/>
      <c r="G774" s="6"/>
    </row>
    <row r="775" spans="1:7" s="5" customFormat="1" x14ac:dyDescent="0.25">
      <c r="A775" s="1"/>
      <c r="B775" s="4"/>
      <c r="C775" s="1"/>
      <c r="D775" s="3"/>
      <c r="E775" s="2"/>
      <c r="F775" s="73"/>
      <c r="G775" s="6"/>
    </row>
    <row r="776" spans="1:7" s="5" customFormat="1" x14ac:dyDescent="0.25">
      <c r="A776" s="1"/>
      <c r="B776" s="4"/>
      <c r="C776" s="1"/>
      <c r="D776" s="3"/>
      <c r="E776" s="2"/>
      <c r="F776" s="73"/>
      <c r="G776" s="6"/>
    </row>
    <row r="777" spans="1:7" s="5" customFormat="1" ht="15" x14ac:dyDescent="0.25">
      <c r="A777" s="1"/>
      <c r="B777" s="4"/>
      <c r="C777" s="1"/>
      <c r="D777" s="3"/>
      <c r="E777" s="2"/>
      <c r="F777" s="73"/>
      <c r="G777" s="8"/>
    </row>
    <row r="778" spans="1:7" s="5" customFormat="1" x14ac:dyDescent="0.25">
      <c r="A778" s="1"/>
      <c r="B778" s="4"/>
      <c r="C778" s="1"/>
      <c r="D778" s="3"/>
      <c r="E778" s="2"/>
      <c r="F778" s="73"/>
    </row>
    <row r="779" spans="1:7" s="5" customFormat="1" ht="15" x14ac:dyDescent="0.25">
      <c r="A779" s="1"/>
      <c r="B779" s="4"/>
      <c r="C779" s="1"/>
      <c r="D779" s="3"/>
      <c r="E779" s="2"/>
      <c r="F779" s="73"/>
      <c r="G779" s="8"/>
    </row>
    <row r="780" spans="1:7" s="5" customFormat="1" ht="15" x14ac:dyDescent="0.25">
      <c r="A780" s="1"/>
      <c r="B780" s="4"/>
      <c r="C780" s="1"/>
      <c r="D780" s="3"/>
      <c r="E780" s="2"/>
      <c r="F780" s="73"/>
      <c r="G780" s="8"/>
    </row>
    <row r="781" spans="1:7" s="5" customFormat="1" x14ac:dyDescent="0.25">
      <c r="A781" s="1"/>
      <c r="B781" s="4"/>
      <c r="C781" s="1"/>
      <c r="D781" s="3"/>
      <c r="E781" s="2"/>
      <c r="F781" s="73"/>
      <c r="G781" s="7"/>
    </row>
    <row r="782" spans="1:7" s="5" customFormat="1" ht="15" x14ac:dyDescent="0.25">
      <c r="A782" s="1"/>
      <c r="B782" s="4"/>
      <c r="C782" s="1"/>
      <c r="D782" s="3"/>
      <c r="E782" s="2"/>
      <c r="F782" s="73"/>
      <c r="G782" s="8"/>
    </row>
    <row r="836" spans="1:7" s="5" customFormat="1" x14ac:dyDescent="0.25">
      <c r="A836" s="1"/>
      <c r="B836" s="4"/>
      <c r="C836" s="1"/>
      <c r="D836" s="3"/>
      <c r="E836" s="2"/>
      <c r="F836" s="73"/>
      <c r="G836" s="6"/>
    </row>
    <row r="837" spans="1:7" s="5" customFormat="1" x14ac:dyDescent="0.25">
      <c r="A837" s="1"/>
      <c r="B837" s="4"/>
      <c r="C837" s="1"/>
      <c r="D837" s="3"/>
      <c r="E837" s="2"/>
      <c r="F837" s="73"/>
      <c r="G837" s="7"/>
    </row>
    <row r="897" spans="1:7" s="5" customFormat="1" x14ac:dyDescent="0.25">
      <c r="A897" s="1"/>
      <c r="B897" s="4"/>
      <c r="C897" s="1"/>
      <c r="D897" s="3"/>
      <c r="E897" s="2"/>
      <c r="F897" s="73"/>
      <c r="G897" s="6"/>
    </row>
    <row r="898" spans="1:7" s="5" customFormat="1" x14ac:dyDescent="0.25">
      <c r="A898" s="1"/>
      <c r="B898" s="4"/>
      <c r="C898" s="1"/>
      <c r="D898" s="3"/>
      <c r="E898" s="2"/>
      <c r="F898" s="73"/>
      <c r="G898" s="7"/>
    </row>
    <row r="942" spans="1:7" s="5" customFormat="1" x14ac:dyDescent="0.25">
      <c r="A942" s="1"/>
      <c r="B942" s="4"/>
      <c r="C942" s="1"/>
      <c r="D942" s="3"/>
      <c r="E942" s="2"/>
      <c r="F942" s="73"/>
      <c r="G942" s="6"/>
    </row>
    <row r="943" spans="1:7" s="5" customFormat="1" x14ac:dyDescent="0.25">
      <c r="A943" s="1"/>
      <c r="B943" s="4"/>
      <c r="C943" s="1"/>
      <c r="D943" s="3"/>
      <c r="E943" s="2"/>
      <c r="F943" s="73"/>
      <c r="G943" s="6"/>
    </row>
    <row r="1028" spans="1:7" s="5" customFormat="1" x14ac:dyDescent="0.25">
      <c r="A1028" s="1"/>
      <c r="B1028" s="4"/>
      <c r="C1028" s="1"/>
      <c r="D1028" s="3"/>
      <c r="E1028" s="2"/>
      <c r="F1028" s="73"/>
      <c r="G1028" s="6"/>
    </row>
    <row r="1029" spans="1:7" s="5" customFormat="1" x14ac:dyDescent="0.25">
      <c r="A1029" s="1"/>
      <c r="B1029" s="4"/>
      <c r="C1029" s="1"/>
      <c r="D1029" s="3"/>
      <c r="E1029" s="2"/>
      <c r="F1029" s="73"/>
      <c r="G1029" s="7"/>
    </row>
    <row r="1030" spans="1:7" s="5" customFormat="1" x14ac:dyDescent="0.25">
      <c r="A1030" s="1"/>
      <c r="B1030" s="4"/>
      <c r="C1030" s="1"/>
      <c r="D1030" s="3"/>
      <c r="E1030" s="2"/>
      <c r="F1030" s="73"/>
      <c r="G1030" s="7"/>
    </row>
    <row r="1077" spans="1:7" s="5" customFormat="1" x14ac:dyDescent="0.25">
      <c r="A1077" s="1"/>
      <c r="B1077" s="4"/>
      <c r="C1077" s="1"/>
      <c r="D1077" s="3"/>
      <c r="E1077" s="2"/>
      <c r="F1077" s="73"/>
      <c r="G1077" s="6"/>
    </row>
    <row r="1078" spans="1:7" s="5" customFormat="1" x14ac:dyDescent="0.25">
      <c r="A1078" s="1"/>
      <c r="B1078" s="4"/>
      <c r="C1078" s="1"/>
      <c r="D1078" s="3"/>
      <c r="E1078" s="2"/>
      <c r="F1078" s="73"/>
      <c r="G1078" s="6"/>
    </row>
    <row r="1079" spans="1:7" s="5" customFormat="1" x14ac:dyDescent="0.25">
      <c r="A1079" s="1"/>
      <c r="B1079" s="4"/>
      <c r="C1079" s="1"/>
      <c r="D1079" s="3"/>
      <c r="E1079" s="2"/>
      <c r="F1079" s="73"/>
      <c r="G1079" s="7"/>
    </row>
    <row r="1080" spans="1:7" s="5" customFormat="1" x14ac:dyDescent="0.25">
      <c r="A1080" s="1"/>
      <c r="B1080" s="4"/>
      <c r="C1080" s="1"/>
      <c r="D1080" s="3"/>
      <c r="E1080" s="2"/>
      <c r="F1080" s="73"/>
      <c r="G1080" s="6"/>
    </row>
    <row r="1081" spans="1:7" s="5" customFormat="1" x14ac:dyDescent="0.25">
      <c r="A1081" s="1"/>
      <c r="B1081" s="4"/>
      <c r="C1081" s="1"/>
      <c r="D1081" s="3"/>
      <c r="E1081" s="2"/>
      <c r="F1081" s="73"/>
      <c r="G1081" s="6"/>
    </row>
    <row r="1082" spans="1:7" s="5" customFormat="1" x14ac:dyDescent="0.25">
      <c r="A1082" s="1"/>
      <c r="B1082" s="4"/>
      <c r="C1082" s="1"/>
      <c r="D1082" s="3"/>
      <c r="E1082" s="2"/>
      <c r="F1082" s="73"/>
      <c r="G1082" s="6"/>
    </row>
    <row r="1083" spans="1:7" s="5" customFormat="1" ht="15" x14ac:dyDescent="0.25">
      <c r="A1083" s="1"/>
      <c r="B1083" s="4"/>
      <c r="C1083" s="1"/>
      <c r="D1083" s="3"/>
      <c r="E1083" s="2"/>
      <c r="F1083" s="73"/>
      <c r="G1083" s="8"/>
    </row>
    <row r="1084" spans="1:7" s="5" customFormat="1" x14ac:dyDescent="0.25">
      <c r="A1084" s="1"/>
      <c r="B1084" s="4"/>
      <c r="C1084" s="1"/>
      <c r="D1084" s="3"/>
      <c r="E1084" s="2"/>
      <c r="F1084" s="73"/>
    </row>
    <row r="1085" spans="1:7" s="5" customFormat="1" ht="15" x14ac:dyDescent="0.25">
      <c r="A1085" s="1"/>
      <c r="B1085" s="4"/>
      <c r="C1085" s="1"/>
      <c r="D1085" s="3"/>
      <c r="E1085" s="2"/>
      <c r="F1085" s="73"/>
      <c r="G1085" s="8"/>
    </row>
    <row r="1086" spans="1:7" s="5" customFormat="1" ht="15" x14ac:dyDescent="0.25">
      <c r="A1086" s="1"/>
      <c r="B1086" s="4"/>
      <c r="C1086" s="1"/>
      <c r="D1086" s="3"/>
      <c r="E1086" s="2"/>
      <c r="F1086" s="73"/>
      <c r="G1086" s="8"/>
    </row>
    <row r="1087" spans="1:7" s="5" customFormat="1" x14ac:dyDescent="0.25">
      <c r="A1087" s="1"/>
      <c r="B1087" s="4"/>
      <c r="C1087" s="1"/>
      <c r="D1087" s="3"/>
      <c r="E1087" s="2"/>
      <c r="F1087" s="73"/>
      <c r="G1087" s="7"/>
    </row>
    <row r="1088" spans="1:7" s="5" customFormat="1" ht="15" x14ac:dyDescent="0.25">
      <c r="A1088" s="1"/>
      <c r="B1088" s="4"/>
      <c r="C1088" s="1"/>
      <c r="D1088" s="3"/>
      <c r="E1088" s="2"/>
      <c r="F1088" s="73"/>
      <c r="G1088" s="8"/>
    </row>
    <row r="1089" spans="1:7" s="5" customFormat="1" ht="15" x14ac:dyDescent="0.25">
      <c r="A1089" s="1"/>
      <c r="B1089" s="4"/>
      <c r="C1089" s="1"/>
      <c r="D1089" s="3"/>
      <c r="E1089" s="2"/>
      <c r="F1089" s="73"/>
      <c r="G1089" s="8"/>
    </row>
    <row r="1120" spans="1:7" s="5" customFormat="1" x14ac:dyDescent="0.25">
      <c r="A1120" s="1"/>
      <c r="B1120" s="4"/>
      <c r="C1120" s="1"/>
      <c r="D1120" s="3"/>
      <c r="E1120" s="2"/>
      <c r="F1120" s="73"/>
      <c r="G1120" s="6"/>
    </row>
    <row r="1121" spans="1:7" s="5" customFormat="1" x14ac:dyDescent="0.25">
      <c r="A1121" s="1"/>
      <c r="B1121" s="4"/>
      <c r="C1121" s="1"/>
      <c r="D1121" s="3"/>
      <c r="E1121" s="2"/>
      <c r="F1121" s="73"/>
      <c r="G1121" s="7"/>
    </row>
    <row r="1122" spans="1:7" s="5" customFormat="1" x14ac:dyDescent="0.25">
      <c r="A1122" s="1"/>
      <c r="B1122" s="4"/>
      <c r="C1122" s="1"/>
      <c r="D1122" s="3"/>
      <c r="E1122" s="2"/>
      <c r="F1122" s="73"/>
      <c r="G1122" s="6"/>
    </row>
    <row r="1123" spans="1:7" s="5" customFormat="1" x14ac:dyDescent="0.25">
      <c r="A1123" s="1"/>
      <c r="B1123" s="4"/>
      <c r="C1123" s="1"/>
      <c r="D1123" s="3"/>
      <c r="E1123" s="2"/>
      <c r="F1123" s="73"/>
      <c r="G1123" s="6"/>
    </row>
    <row r="1124" spans="1:7" s="5" customFormat="1" x14ac:dyDescent="0.25">
      <c r="A1124" s="1"/>
      <c r="B1124" s="4"/>
      <c r="C1124" s="1"/>
      <c r="D1124" s="3"/>
      <c r="E1124" s="2"/>
      <c r="F1124" s="73"/>
      <c r="G1124" s="6"/>
    </row>
    <row r="1125" spans="1:7" s="5" customFormat="1" x14ac:dyDescent="0.25">
      <c r="A1125" s="1"/>
      <c r="B1125" s="4"/>
      <c r="C1125" s="1"/>
      <c r="D1125" s="3"/>
      <c r="E1125" s="2"/>
      <c r="F1125" s="73"/>
      <c r="G1125" s="6"/>
    </row>
    <row r="1126" spans="1:7" s="5" customFormat="1" x14ac:dyDescent="0.25">
      <c r="A1126" s="1"/>
      <c r="B1126" s="4"/>
      <c r="C1126" s="1"/>
      <c r="D1126" s="3"/>
      <c r="E1126" s="2"/>
      <c r="F1126" s="73"/>
      <c r="G1126" s="6"/>
    </row>
    <row r="1127" spans="1:7" s="5" customFormat="1" x14ac:dyDescent="0.25">
      <c r="A1127" s="1"/>
      <c r="B1127" s="4"/>
      <c r="C1127" s="1"/>
      <c r="D1127" s="3"/>
      <c r="E1127" s="2"/>
      <c r="F1127" s="73"/>
      <c r="G1127" s="6"/>
    </row>
    <row r="1128" spans="1:7" s="5" customFormat="1" x14ac:dyDescent="0.25">
      <c r="A1128" s="1"/>
      <c r="B1128" s="4"/>
      <c r="C1128" s="1"/>
      <c r="D1128" s="3"/>
      <c r="E1128" s="2"/>
      <c r="F1128" s="73"/>
      <c r="G1128" s="6"/>
    </row>
    <row r="1129" spans="1:7" s="5" customFormat="1" x14ac:dyDescent="0.25">
      <c r="A1129" s="1"/>
      <c r="B1129" s="4"/>
      <c r="C1129" s="1"/>
      <c r="D1129" s="3"/>
      <c r="E1129" s="2"/>
      <c r="F1129" s="73"/>
      <c r="G1129" s="6"/>
    </row>
    <row r="1130" spans="1:7" s="5" customFormat="1" x14ac:dyDescent="0.25">
      <c r="A1130" s="1"/>
      <c r="B1130" s="4"/>
      <c r="C1130" s="1"/>
      <c r="D1130" s="3"/>
      <c r="E1130" s="2"/>
      <c r="F1130" s="73"/>
      <c r="G1130" s="6"/>
    </row>
    <row r="1131" spans="1:7" s="5" customFormat="1" x14ac:dyDescent="0.25">
      <c r="A1131" s="1"/>
      <c r="B1131" s="4"/>
      <c r="C1131" s="1"/>
      <c r="D1131" s="3"/>
      <c r="E1131" s="2"/>
      <c r="F1131" s="73"/>
      <c r="G1131" s="6"/>
    </row>
    <row r="1132" spans="1:7" s="5" customFormat="1" x14ac:dyDescent="0.25">
      <c r="A1132" s="1"/>
      <c r="B1132" s="4"/>
      <c r="C1132" s="1"/>
      <c r="D1132" s="3"/>
      <c r="E1132" s="2"/>
      <c r="F1132" s="73"/>
      <c r="G1132" s="6"/>
    </row>
    <row r="1133" spans="1:7" s="5" customFormat="1" x14ac:dyDescent="0.25">
      <c r="A1133" s="1"/>
      <c r="B1133" s="4"/>
      <c r="C1133" s="1"/>
      <c r="D1133" s="3"/>
      <c r="E1133" s="2"/>
      <c r="F1133" s="73"/>
      <c r="G1133" s="6"/>
    </row>
    <row r="1134" spans="1:7" s="5" customFormat="1" x14ac:dyDescent="0.25">
      <c r="A1134" s="1"/>
      <c r="B1134" s="4"/>
      <c r="C1134" s="1"/>
      <c r="D1134" s="3"/>
      <c r="E1134" s="2"/>
      <c r="F1134" s="73"/>
      <c r="G1134" s="6"/>
    </row>
    <row r="1135" spans="1:7" s="5" customFormat="1" x14ac:dyDescent="0.25">
      <c r="A1135" s="1"/>
      <c r="B1135" s="4"/>
      <c r="C1135" s="1"/>
      <c r="D1135" s="3"/>
      <c r="E1135" s="2"/>
      <c r="F1135" s="73"/>
      <c r="G1135" s="6"/>
    </row>
    <row r="1136" spans="1:7" s="5" customFormat="1" x14ac:dyDescent="0.25">
      <c r="A1136" s="1"/>
      <c r="B1136" s="4"/>
      <c r="C1136" s="1"/>
      <c r="D1136" s="3"/>
      <c r="E1136" s="2"/>
      <c r="F1136" s="73"/>
      <c r="G1136" s="6"/>
    </row>
    <row r="1137" spans="1:7" s="5" customFormat="1" x14ac:dyDescent="0.25">
      <c r="A1137" s="1"/>
      <c r="B1137" s="4"/>
      <c r="C1137" s="1"/>
      <c r="D1137" s="3"/>
      <c r="E1137" s="2"/>
      <c r="F1137" s="73"/>
      <c r="G1137" s="6"/>
    </row>
    <row r="1138" spans="1:7" s="5" customFormat="1" x14ac:dyDescent="0.25">
      <c r="A1138" s="1"/>
      <c r="B1138" s="4"/>
      <c r="C1138" s="1"/>
      <c r="D1138" s="3"/>
      <c r="E1138" s="2"/>
      <c r="F1138" s="73"/>
      <c r="G1138" s="6"/>
    </row>
    <row r="1139" spans="1:7" s="5" customFormat="1" x14ac:dyDescent="0.25">
      <c r="A1139" s="1"/>
      <c r="B1139" s="4"/>
      <c r="C1139" s="1"/>
      <c r="D1139" s="3"/>
      <c r="E1139" s="2"/>
      <c r="F1139" s="73"/>
      <c r="G1139" s="6"/>
    </row>
    <row r="1140" spans="1:7" s="5" customFormat="1" x14ac:dyDescent="0.25">
      <c r="A1140" s="1"/>
      <c r="B1140" s="4"/>
      <c r="C1140" s="1"/>
      <c r="D1140" s="3"/>
      <c r="E1140" s="2"/>
      <c r="F1140" s="73"/>
      <c r="G1140" s="6"/>
    </row>
    <row r="1141" spans="1:7" s="5" customFormat="1" x14ac:dyDescent="0.25">
      <c r="A1141" s="1"/>
      <c r="B1141" s="4"/>
      <c r="C1141" s="1"/>
      <c r="D1141" s="3"/>
      <c r="E1141" s="2"/>
      <c r="F1141" s="73"/>
      <c r="G1141" s="6"/>
    </row>
    <row r="1142" spans="1:7" s="5" customFormat="1" x14ac:dyDescent="0.25">
      <c r="A1142" s="1"/>
      <c r="B1142" s="4"/>
      <c r="C1142" s="1"/>
      <c r="D1142" s="3"/>
      <c r="E1142" s="2"/>
      <c r="F1142" s="73"/>
      <c r="G1142" s="6"/>
    </row>
    <row r="1143" spans="1:7" s="5" customFormat="1" x14ac:dyDescent="0.25">
      <c r="A1143" s="1"/>
      <c r="B1143" s="4"/>
      <c r="C1143" s="1"/>
      <c r="D1143" s="3"/>
      <c r="E1143" s="2"/>
      <c r="F1143" s="73"/>
      <c r="G1143" s="6"/>
    </row>
    <row r="1144" spans="1:7" s="5" customFormat="1" x14ac:dyDescent="0.25">
      <c r="A1144" s="1"/>
      <c r="B1144" s="4"/>
      <c r="C1144" s="1"/>
      <c r="D1144" s="3"/>
      <c r="E1144" s="2"/>
      <c r="F1144" s="73"/>
      <c r="G1144" s="6"/>
    </row>
    <row r="1145" spans="1:7" s="5" customFormat="1" x14ac:dyDescent="0.25">
      <c r="A1145" s="1"/>
      <c r="B1145" s="4"/>
      <c r="C1145" s="1"/>
      <c r="D1145" s="3"/>
      <c r="E1145" s="2"/>
      <c r="F1145" s="73"/>
      <c r="G1145" s="6"/>
    </row>
    <row r="1146" spans="1:7" s="5" customFormat="1" x14ac:dyDescent="0.25">
      <c r="A1146" s="1"/>
      <c r="B1146" s="4"/>
      <c r="C1146" s="1"/>
      <c r="D1146" s="3"/>
      <c r="E1146" s="2"/>
      <c r="F1146" s="73"/>
      <c r="G1146" s="6"/>
    </row>
    <row r="1147" spans="1:7" s="5" customFormat="1" x14ac:dyDescent="0.25">
      <c r="A1147" s="1"/>
      <c r="B1147" s="4"/>
      <c r="C1147" s="1"/>
      <c r="D1147" s="3"/>
      <c r="E1147" s="2"/>
      <c r="F1147" s="73"/>
      <c r="G1147" s="6"/>
    </row>
    <row r="1148" spans="1:7" s="5" customFormat="1" x14ac:dyDescent="0.25">
      <c r="A1148" s="1"/>
      <c r="B1148" s="4"/>
      <c r="C1148" s="1"/>
      <c r="D1148" s="3"/>
      <c r="E1148" s="2"/>
      <c r="F1148" s="73"/>
      <c r="G1148" s="6"/>
    </row>
    <row r="1149" spans="1:7" s="5" customFormat="1" x14ac:dyDescent="0.25">
      <c r="A1149" s="1"/>
      <c r="B1149" s="4"/>
      <c r="C1149" s="1"/>
      <c r="D1149" s="3"/>
      <c r="E1149" s="2"/>
      <c r="F1149" s="73"/>
      <c r="G1149" s="6"/>
    </row>
    <row r="1150" spans="1:7" s="5" customFormat="1" x14ac:dyDescent="0.25">
      <c r="A1150" s="1"/>
      <c r="B1150" s="4"/>
      <c r="C1150" s="1"/>
      <c r="D1150" s="3"/>
      <c r="E1150" s="2"/>
      <c r="F1150" s="73"/>
      <c r="G1150" s="6"/>
    </row>
    <row r="1151" spans="1:7" s="5" customFormat="1" x14ac:dyDescent="0.25">
      <c r="A1151" s="1"/>
      <c r="B1151" s="4"/>
      <c r="C1151" s="1"/>
      <c r="D1151" s="3"/>
      <c r="E1151" s="2"/>
      <c r="F1151" s="73"/>
      <c r="G1151" s="6"/>
    </row>
    <row r="1152" spans="1:7" s="5" customFormat="1" x14ac:dyDescent="0.25">
      <c r="A1152" s="1"/>
      <c r="B1152" s="4"/>
      <c r="C1152" s="1"/>
      <c r="D1152" s="3"/>
      <c r="E1152" s="2"/>
      <c r="F1152" s="73"/>
      <c r="G1152" s="6"/>
    </row>
    <row r="1153" spans="1:7" s="5" customFormat="1" x14ac:dyDescent="0.25">
      <c r="A1153" s="1"/>
      <c r="B1153" s="4"/>
      <c r="C1153" s="1"/>
      <c r="D1153" s="3"/>
      <c r="E1153" s="2"/>
      <c r="F1153" s="73"/>
      <c r="G1153" s="6"/>
    </row>
    <row r="1154" spans="1:7" s="5" customFormat="1" x14ac:dyDescent="0.25">
      <c r="A1154" s="1"/>
      <c r="B1154" s="4"/>
      <c r="C1154" s="1"/>
      <c r="D1154" s="3"/>
      <c r="E1154" s="2"/>
      <c r="F1154" s="73"/>
      <c r="G1154" s="6"/>
    </row>
    <row r="1155" spans="1:7" s="5" customFormat="1" x14ac:dyDescent="0.25">
      <c r="A1155" s="1"/>
      <c r="B1155" s="4"/>
      <c r="C1155" s="1"/>
      <c r="D1155" s="3"/>
      <c r="E1155" s="2"/>
      <c r="F1155" s="73"/>
      <c r="G1155" s="6"/>
    </row>
    <row r="1156" spans="1:7" s="5" customFormat="1" x14ac:dyDescent="0.25">
      <c r="A1156" s="1"/>
      <c r="B1156" s="4"/>
      <c r="C1156" s="1"/>
      <c r="D1156" s="3"/>
      <c r="E1156" s="2"/>
      <c r="F1156" s="73"/>
      <c r="G1156" s="6"/>
    </row>
    <row r="1157" spans="1:7" s="5" customFormat="1" x14ac:dyDescent="0.25">
      <c r="A1157" s="1"/>
      <c r="B1157" s="4"/>
      <c r="C1157" s="1"/>
      <c r="D1157" s="3"/>
      <c r="E1157" s="2"/>
      <c r="F1157" s="73"/>
      <c r="G1157" s="6"/>
    </row>
    <row r="1158" spans="1:7" s="5" customFormat="1" x14ac:dyDescent="0.25">
      <c r="A1158" s="1"/>
      <c r="B1158" s="4"/>
      <c r="C1158" s="1"/>
      <c r="D1158" s="3"/>
      <c r="E1158" s="2"/>
      <c r="F1158" s="73"/>
      <c r="G1158" s="6"/>
    </row>
    <row r="1159" spans="1:7" s="5" customFormat="1" x14ac:dyDescent="0.25">
      <c r="A1159" s="1"/>
      <c r="B1159" s="4"/>
      <c r="C1159" s="1"/>
      <c r="D1159" s="3"/>
      <c r="E1159" s="2"/>
      <c r="F1159" s="73"/>
      <c r="G1159" s="6"/>
    </row>
    <row r="1160" spans="1:7" s="5" customFormat="1" x14ac:dyDescent="0.25">
      <c r="A1160" s="1"/>
      <c r="B1160" s="4"/>
      <c r="C1160" s="1"/>
      <c r="D1160" s="3"/>
      <c r="E1160" s="2"/>
      <c r="F1160" s="73"/>
      <c r="G1160" s="6"/>
    </row>
    <row r="1161" spans="1:7" s="5" customFormat="1" x14ac:dyDescent="0.25">
      <c r="A1161" s="1"/>
      <c r="B1161" s="4"/>
      <c r="C1161" s="1"/>
      <c r="D1161" s="3"/>
      <c r="E1161" s="2"/>
      <c r="F1161" s="73"/>
      <c r="G1161" s="6"/>
    </row>
    <row r="1162" spans="1:7" s="5" customFormat="1" x14ac:dyDescent="0.25">
      <c r="A1162" s="1"/>
      <c r="B1162" s="4"/>
      <c r="C1162" s="1"/>
      <c r="D1162" s="3"/>
      <c r="E1162" s="2"/>
      <c r="F1162" s="73"/>
      <c r="G1162" s="6"/>
    </row>
    <row r="1163" spans="1:7" s="5" customFormat="1" x14ac:dyDescent="0.25">
      <c r="A1163" s="1"/>
      <c r="B1163" s="4"/>
      <c r="C1163" s="1"/>
      <c r="D1163" s="3"/>
      <c r="E1163" s="2"/>
      <c r="F1163" s="73"/>
      <c r="G1163" s="6"/>
    </row>
    <row r="1164" spans="1:7" s="5" customFormat="1" x14ac:dyDescent="0.25">
      <c r="A1164" s="1"/>
      <c r="B1164" s="4"/>
      <c r="C1164" s="1"/>
      <c r="D1164" s="3"/>
      <c r="E1164" s="2"/>
      <c r="F1164" s="73"/>
      <c r="G1164" s="6"/>
    </row>
    <row r="1165" spans="1:7" s="5" customFormat="1" x14ac:dyDescent="0.25">
      <c r="A1165" s="1"/>
      <c r="B1165" s="4"/>
      <c r="C1165" s="1"/>
      <c r="D1165" s="3"/>
      <c r="E1165" s="2"/>
      <c r="F1165" s="73"/>
      <c r="G1165" s="6"/>
    </row>
    <row r="1166" spans="1:7" s="5" customFormat="1" x14ac:dyDescent="0.25">
      <c r="A1166" s="1"/>
      <c r="B1166" s="4"/>
      <c r="C1166" s="1"/>
      <c r="D1166" s="3"/>
      <c r="E1166" s="2"/>
      <c r="F1166" s="73"/>
      <c r="G1166" s="6"/>
    </row>
    <row r="1167" spans="1:7" s="5" customFormat="1" ht="15" x14ac:dyDescent="0.25">
      <c r="A1167" s="1"/>
      <c r="B1167" s="4"/>
      <c r="C1167" s="1"/>
      <c r="D1167" s="3"/>
      <c r="E1167" s="2"/>
      <c r="F1167" s="73"/>
      <c r="G1167" s="8"/>
    </row>
    <row r="1168" spans="1:7" s="5" customFormat="1" x14ac:dyDescent="0.25">
      <c r="A1168" s="1"/>
      <c r="B1168" s="4"/>
      <c r="C1168" s="1"/>
      <c r="D1168" s="3"/>
      <c r="E1168" s="2"/>
      <c r="F1168" s="73"/>
    </row>
    <row r="1169" spans="1:7" s="5" customFormat="1" ht="15" x14ac:dyDescent="0.25">
      <c r="A1169" s="1"/>
      <c r="B1169" s="4"/>
      <c r="C1169" s="1"/>
      <c r="D1169" s="3"/>
      <c r="E1169" s="2"/>
      <c r="F1169" s="73"/>
      <c r="G1169" s="8"/>
    </row>
    <row r="1203" spans="1:7" s="5" customFormat="1" x14ac:dyDescent="0.25">
      <c r="A1203" s="1"/>
      <c r="B1203" s="4"/>
      <c r="C1203" s="1"/>
      <c r="D1203" s="3"/>
      <c r="E1203" s="2"/>
      <c r="F1203" s="73"/>
      <c r="G1203" s="6"/>
    </row>
    <row r="1204" spans="1:7" s="5" customFormat="1" x14ac:dyDescent="0.25">
      <c r="A1204" s="1"/>
      <c r="B1204" s="4"/>
      <c r="C1204" s="1"/>
      <c r="D1204" s="3"/>
      <c r="E1204" s="2"/>
      <c r="F1204" s="73"/>
      <c r="G1204" s="6"/>
    </row>
    <row r="1205" spans="1:7" s="5" customFormat="1" ht="15" x14ac:dyDescent="0.25">
      <c r="A1205" s="1"/>
      <c r="B1205" s="4"/>
      <c r="C1205" s="1"/>
      <c r="D1205" s="3"/>
      <c r="E1205" s="2"/>
      <c r="F1205" s="73"/>
      <c r="G1205" s="8"/>
    </row>
    <row r="1206" spans="1:7" s="5" customFormat="1" x14ac:dyDescent="0.25">
      <c r="A1206" s="1"/>
      <c r="B1206" s="4"/>
      <c r="C1206" s="1"/>
      <c r="D1206" s="3"/>
      <c r="E1206" s="2"/>
      <c r="F1206" s="73"/>
    </row>
    <row r="1207" spans="1:7" s="5" customFormat="1" ht="15" x14ac:dyDescent="0.25">
      <c r="A1207" s="1"/>
      <c r="B1207" s="4"/>
      <c r="C1207" s="1"/>
      <c r="D1207" s="3"/>
      <c r="E1207" s="2"/>
      <c r="F1207" s="73"/>
      <c r="G1207" s="8"/>
    </row>
    <row r="1208" spans="1:7" s="5" customFormat="1" ht="15" x14ac:dyDescent="0.25">
      <c r="A1208" s="1"/>
      <c r="B1208" s="4"/>
      <c r="C1208" s="1"/>
      <c r="D1208" s="3"/>
      <c r="E1208" s="2"/>
      <c r="F1208" s="73"/>
      <c r="G1208" s="8"/>
    </row>
    <row r="1209" spans="1:7" s="5" customFormat="1" x14ac:dyDescent="0.25">
      <c r="A1209" s="1"/>
      <c r="B1209" s="4"/>
      <c r="C1209" s="1"/>
      <c r="D1209" s="3"/>
      <c r="E1209" s="2"/>
      <c r="F1209" s="73"/>
      <c r="G1209" s="7"/>
    </row>
    <row r="1210" spans="1:7" s="5" customFormat="1" ht="15" x14ac:dyDescent="0.25">
      <c r="A1210" s="1"/>
      <c r="B1210" s="4"/>
      <c r="C1210" s="1"/>
      <c r="D1210" s="3"/>
      <c r="E1210" s="2"/>
      <c r="F1210" s="73"/>
      <c r="G1210" s="8"/>
    </row>
    <row r="1211" spans="1:7" s="5" customFormat="1" ht="15" x14ac:dyDescent="0.25">
      <c r="A1211" s="1"/>
      <c r="B1211" s="4"/>
      <c r="C1211" s="1"/>
      <c r="D1211" s="3"/>
      <c r="E1211" s="2"/>
      <c r="F1211" s="73"/>
      <c r="G1211" s="8"/>
    </row>
    <row r="1216" spans="1:7" s="5" customFormat="1" x14ac:dyDescent="0.25">
      <c r="A1216" s="1"/>
      <c r="B1216" s="4"/>
      <c r="C1216" s="1"/>
      <c r="D1216" s="3"/>
      <c r="E1216" s="2"/>
      <c r="F1216" s="73"/>
      <c r="G1216" s="6"/>
    </row>
    <row r="1217" spans="1:7" s="5" customFormat="1" x14ac:dyDescent="0.25">
      <c r="A1217" s="1"/>
      <c r="B1217" s="4"/>
      <c r="C1217" s="1"/>
      <c r="D1217" s="3"/>
      <c r="E1217" s="2"/>
      <c r="F1217" s="73"/>
      <c r="G1217" s="7"/>
    </row>
    <row r="1218" spans="1:7" s="5" customFormat="1" x14ac:dyDescent="0.25">
      <c r="A1218" s="1"/>
      <c r="B1218" s="4"/>
      <c r="C1218" s="1"/>
      <c r="D1218" s="3"/>
      <c r="E1218" s="2"/>
      <c r="F1218" s="73"/>
      <c r="G1218" s="6"/>
    </row>
    <row r="1241" spans="1:7" s="5" customFormat="1" x14ac:dyDescent="0.25">
      <c r="A1241" s="1"/>
      <c r="B1241" s="4"/>
      <c r="C1241" s="1"/>
      <c r="D1241" s="3"/>
      <c r="E1241" s="2"/>
      <c r="F1241" s="73"/>
      <c r="G1241" s="6"/>
    </row>
    <row r="1242" spans="1:7" s="5" customFormat="1" x14ac:dyDescent="0.25">
      <c r="A1242" s="1"/>
      <c r="B1242" s="4"/>
      <c r="C1242" s="1"/>
      <c r="D1242" s="3"/>
      <c r="E1242" s="2"/>
      <c r="F1242" s="73"/>
      <c r="G1242" s="6"/>
    </row>
    <row r="1243" spans="1:7" s="5" customFormat="1" x14ac:dyDescent="0.25">
      <c r="A1243" s="1"/>
      <c r="B1243" s="4"/>
      <c r="C1243" s="1"/>
      <c r="D1243" s="3"/>
      <c r="E1243" s="2"/>
      <c r="F1243" s="73"/>
      <c r="G1243" s="6"/>
    </row>
    <row r="1244" spans="1:7" s="5" customFormat="1" x14ac:dyDescent="0.25">
      <c r="A1244" s="1"/>
      <c r="B1244" s="4"/>
      <c r="C1244" s="1"/>
      <c r="D1244" s="3"/>
      <c r="E1244" s="2"/>
      <c r="F1244" s="73"/>
      <c r="G1244" s="7"/>
    </row>
    <row r="1245" spans="1:7" s="5" customFormat="1" x14ac:dyDescent="0.25">
      <c r="A1245" s="1"/>
      <c r="B1245" s="4"/>
      <c r="C1245" s="1"/>
      <c r="D1245" s="3"/>
      <c r="E1245" s="2"/>
      <c r="F1245" s="73"/>
      <c r="G1245" s="6"/>
    </row>
    <row r="1246" spans="1:7" s="5" customFormat="1" x14ac:dyDescent="0.25">
      <c r="A1246" s="1"/>
      <c r="B1246" s="4"/>
      <c r="C1246" s="1"/>
      <c r="D1246" s="3"/>
      <c r="E1246" s="2"/>
      <c r="F1246" s="73"/>
      <c r="G1246" s="6"/>
    </row>
    <row r="1247" spans="1:7" s="5" customFormat="1" x14ac:dyDescent="0.25">
      <c r="A1247" s="1"/>
      <c r="B1247" s="4"/>
      <c r="C1247" s="1"/>
      <c r="D1247" s="3"/>
      <c r="E1247" s="2"/>
      <c r="F1247" s="73"/>
      <c r="G1247" s="6"/>
    </row>
    <row r="1248" spans="1:7" s="5" customFormat="1" x14ac:dyDescent="0.25">
      <c r="A1248" s="1"/>
      <c r="B1248" s="4"/>
      <c r="C1248" s="1"/>
      <c r="D1248" s="3"/>
      <c r="E1248" s="2"/>
      <c r="F1248" s="73"/>
      <c r="G1248" s="6"/>
    </row>
    <row r="1249" spans="1:7" s="5" customFormat="1" x14ac:dyDescent="0.25">
      <c r="A1249" s="1"/>
      <c r="B1249" s="4"/>
      <c r="C1249" s="1"/>
      <c r="D1249" s="3"/>
      <c r="E1249" s="2"/>
      <c r="F1249" s="73"/>
      <c r="G1249" s="6"/>
    </row>
    <row r="1250" spans="1:7" s="5" customFormat="1" x14ac:dyDescent="0.25">
      <c r="A1250" s="1"/>
      <c r="B1250" s="4"/>
      <c r="C1250" s="1"/>
      <c r="D1250" s="3"/>
      <c r="E1250" s="2"/>
      <c r="F1250" s="73"/>
      <c r="G1250" s="6"/>
    </row>
  </sheetData>
  <mergeCells count="1">
    <mergeCell ref="B91:E91"/>
  </mergeCells>
  <phoneticPr fontId="9" type="noConversion"/>
  <pageMargins left="0.70866141732283472" right="0.70866141732283472" top="0.74803149606299213" bottom="0.74803149606299213" header="0.31496062992125984" footer="0.31496062992125984"/>
  <pageSetup paperSize="9" scale="97" firstPageNumber="2" orientation="portrait" useFirstPageNumber="1" r:id="rId1"/>
  <headerFooter>
    <oddHeader xml:space="preserve">&amp;L&amp;"Arial,Regular"&amp;9FORT HARE UNIVERSITY
FINANCE OFFICES -  FIRE PROTECTION INSTALLATION
</oddHeader>
    <oddFooter xml:space="preserve">&amp;L&amp;"Arial,Regular"&amp;9UNIVERSITY OF FORT HARE FINANCIAL OFFICE -  FIRE PROTECTION INSTALLATION&amp;R&amp;"Arial,Regular"&amp;9Page 6.&amp;P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C6A7-8243-42EC-BD3A-A150F9D11C5B}">
  <dimension ref="A1:F51"/>
  <sheetViews>
    <sheetView showGridLines="0" view="pageLayout" zoomScaleNormal="100" workbookViewId="0">
      <selection activeCell="G16" sqref="G16"/>
    </sheetView>
  </sheetViews>
  <sheetFormatPr defaultRowHeight="15" x14ac:dyDescent="0.25"/>
  <cols>
    <col min="1" max="1" width="9.140625" customWidth="1"/>
    <col min="2" max="2" width="39.42578125" customWidth="1"/>
    <col min="3" max="3" width="6.5703125" customWidth="1"/>
    <col min="4" max="4" width="5.140625" customWidth="1"/>
    <col min="5" max="6" width="14.5703125" customWidth="1"/>
  </cols>
  <sheetData>
    <row r="1" spans="1:6" x14ac:dyDescent="0.25">
      <c r="A1" s="158" t="s">
        <v>18</v>
      </c>
      <c r="B1" s="158"/>
      <c r="C1" s="158"/>
      <c r="D1" s="158"/>
      <c r="E1" s="158"/>
      <c r="F1" s="158"/>
    </row>
    <row r="2" spans="1:6" x14ac:dyDescent="0.25">
      <c r="A2" s="38"/>
      <c r="B2" s="39"/>
      <c r="C2" s="40"/>
      <c r="D2" s="41"/>
      <c r="E2" s="159"/>
      <c r="F2" s="159"/>
    </row>
    <row r="3" spans="1:6" ht="16.5" customHeight="1" x14ac:dyDescent="0.25">
      <c r="A3" s="76" t="s">
        <v>16</v>
      </c>
      <c r="B3" s="40"/>
      <c r="C3" s="41"/>
      <c r="D3" s="41"/>
      <c r="E3" s="41"/>
      <c r="F3" s="101"/>
    </row>
    <row r="4" spans="1:6" ht="16.5" customHeight="1" x14ac:dyDescent="0.25">
      <c r="A4" s="76"/>
      <c r="B4" s="40"/>
      <c r="C4" s="41"/>
      <c r="D4" s="41"/>
      <c r="E4" s="41"/>
      <c r="F4" s="41"/>
    </row>
    <row r="5" spans="1:6" x14ac:dyDescent="0.25">
      <c r="A5" s="78">
        <v>1</v>
      </c>
      <c r="B5" s="160" t="s">
        <v>8</v>
      </c>
      <c r="C5" s="160"/>
      <c r="D5" s="160"/>
      <c r="E5" s="75"/>
      <c r="F5" s="88">
        <f>Total_Schedule1</f>
        <v>0</v>
      </c>
    </row>
    <row r="6" spans="1:6" x14ac:dyDescent="0.25">
      <c r="A6" s="78">
        <v>2</v>
      </c>
      <c r="B6" s="160" t="s">
        <v>41</v>
      </c>
      <c r="C6" s="160"/>
      <c r="D6" s="160"/>
      <c r="E6" s="75"/>
      <c r="F6" s="88">
        <f>Total_Schedule2</f>
        <v>0</v>
      </c>
    </row>
    <row r="7" spans="1:6" x14ac:dyDescent="0.25">
      <c r="A7" s="78"/>
      <c r="B7" s="160"/>
      <c r="C7" s="160"/>
      <c r="D7" s="160"/>
      <c r="E7" s="75"/>
      <c r="F7" s="88"/>
    </row>
    <row r="8" spans="1:6" x14ac:dyDescent="0.25">
      <c r="A8" s="95"/>
      <c r="B8" s="89"/>
      <c r="C8" s="89"/>
      <c r="D8" s="77"/>
      <c r="E8" s="77"/>
      <c r="F8" s="86"/>
    </row>
    <row r="9" spans="1:6" x14ac:dyDescent="0.25">
      <c r="A9" s="90"/>
      <c r="B9" s="90" t="s">
        <v>19</v>
      </c>
      <c r="C9" s="90"/>
      <c r="D9" s="90"/>
      <c r="E9" s="90"/>
      <c r="F9" s="94">
        <f>SUBTOTAL(9,F5:F7)</f>
        <v>0</v>
      </c>
    </row>
    <row r="10" spans="1:6" x14ac:dyDescent="0.25">
      <c r="A10" s="96"/>
      <c r="B10" s="96" t="s">
        <v>15</v>
      </c>
      <c r="C10" s="96"/>
      <c r="D10" s="96"/>
      <c r="E10" s="96"/>
      <c r="F10" s="97">
        <f>F9*0.05</f>
        <v>0</v>
      </c>
    </row>
    <row r="11" spans="1:6" x14ac:dyDescent="0.25">
      <c r="A11" s="91"/>
      <c r="B11" s="91"/>
      <c r="C11" s="91"/>
      <c r="D11" s="91"/>
      <c r="E11" s="91"/>
      <c r="F11" s="87"/>
    </row>
    <row r="12" spans="1:6" x14ac:dyDescent="0.25">
      <c r="A12" s="98"/>
      <c r="B12" s="98" t="s">
        <v>17</v>
      </c>
      <c r="C12" s="98"/>
      <c r="D12" s="98"/>
      <c r="E12" s="98"/>
      <c r="F12" s="99">
        <f>SUM(F9:F10)</f>
        <v>0</v>
      </c>
    </row>
    <row r="13" spans="1:6" x14ac:dyDescent="0.25">
      <c r="A13" s="93"/>
      <c r="B13" s="93" t="s">
        <v>10</v>
      </c>
      <c r="C13" s="93"/>
      <c r="D13" s="93"/>
      <c r="E13" s="93"/>
      <c r="F13" s="97">
        <f>F12*0.05</f>
        <v>0</v>
      </c>
    </row>
    <row r="14" spans="1:6" x14ac:dyDescent="0.25">
      <c r="A14" s="89"/>
      <c r="B14" s="89"/>
      <c r="C14" s="89"/>
      <c r="D14" s="89"/>
      <c r="E14" s="89"/>
      <c r="F14" s="86"/>
    </row>
    <row r="15" spans="1:6" ht="15.75" thickBot="1" x14ac:dyDescent="0.3">
      <c r="A15" s="90"/>
      <c r="B15" s="90" t="s">
        <v>32</v>
      </c>
      <c r="C15" s="90"/>
      <c r="D15" s="90"/>
      <c r="E15" s="90"/>
      <c r="F15" s="100">
        <f>SUM(F12:F13)</f>
        <v>0</v>
      </c>
    </row>
    <row r="16" spans="1:6" ht="15.75" thickTop="1" x14ac:dyDescent="0.25">
      <c r="A16" s="44"/>
      <c r="B16" s="78"/>
      <c r="C16" s="81"/>
      <c r="D16" s="81"/>
      <c r="E16" s="75"/>
      <c r="F16" s="92"/>
    </row>
    <row r="17" spans="1:6" x14ac:dyDescent="0.25">
      <c r="A17" s="44"/>
      <c r="B17" s="161" t="s">
        <v>9</v>
      </c>
      <c r="C17" s="161"/>
      <c r="D17" s="161"/>
      <c r="E17" s="161"/>
      <c r="F17" s="85"/>
    </row>
    <row r="18" spans="1:6" x14ac:dyDescent="0.25">
      <c r="B18" s="46"/>
      <c r="C18" s="47"/>
      <c r="D18" s="48"/>
      <c r="E18" s="41"/>
      <c r="F18" s="85"/>
    </row>
    <row r="19" spans="1:6" ht="15" customHeight="1" x14ac:dyDescent="0.25">
      <c r="A19" s="79">
        <v>1</v>
      </c>
      <c r="B19" s="157" t="s">
        <v>33</v>
      </c>
      <c r="C19" s="157"/>
      <c r="D19" s="157"/>
      <c r="E19" s="157"/>
      <c r="F19" s="157"/>
    </row>
    <row r="20" spans="1:6" ht="15" customHeight="1" x14ac:dyDescent="0.25">
      <c r="A20" s="79"/>
      <c r="B20" s="157"/>
      <c r="C20" s="157"/>
      <c r="D20" s="157"/>
      <c r="E20" s="157"/>
      <c r="F20" s="157"/>
    </row>
    <row r="21" spans="1:6" ht="15" customHeight="1" x14ac:dyDescent="0.25">
      <c r="A21" s="79"/>
      <c r="B21" s="157"/>
      <c r="C21" s="157"/>
      <c r="D21" s="157"/>
      <c r="E21" s="157"/>
      <c r="F21" s="157"/>
    </row>
    <row r="22" spans="1:6" ht="15" customHeight="1" x14ac:dyDescent="0.25">
      <c r="A22" s="79"/>
      <c r="B22" s="157"/>
      <c r="C22" s="157"/>
      <c r="D22" s="157"/>
      <c r="E22" s="157"/>
      <c r="F22" s="157"/>
    </row>
    <row r="23" spans="1:6" x14ac:dyDescent="0.25">
      <c r="A23" s="79"/>
      <c r="B23" s="157"/>
      <c r="C23" s="157"/>
      <c r="D23" s="157"/>
      <c r="E23" s="157"/>
      <c r="F23" s="157"/>
    </row>
    <row r="24" spans="1:6" ht="15" customHeight="1" x14ac:dyDescent="0.25">
      <c r="A24" s="79">
        <v>2</v>
      </c>
      <c r="B24" s="157" t="s">
        <v>42</v>
      </c>
      <c r="C24" s="157"/>
      <c r="D24" s="157"/>
      <c r="E24" s="157"/>
      <c r="F24" s="157"/>
    </row>
    <row r="25" spans="1:6" ht="15" customHeight="1" x14ac:dyDescent="0.25">
      <c r="A25" s="79"/>
      <c r="B25" s="157"/>
      <c r="C25" s="157"/>
      <c r="D25" s="157"/>
      <c r="E25" s="157"/>
      <c r="F25" s="157"/>
    </row>
    <row r="26" spans="1:6" x14ac:dyDescent="0.25">
      <c r="A26" s="79"/>
      <c r="B26" s="157"/>
      <c r="C26" s="157"/>
      <c r="D26" s="157"/>
      <c r="E26" s="157"/>
      <c r="F26" s="157"/>
    </row>
    <row r="27" spans="1:6" ht="15" customHeight="1" x14ac:dyDescent="0.25">
      <c r="A27" s="79">
        <v>3</v>
      </c>
      <c r="B27" s="157" t="s">
        <v>34</v>
      </c>
      <c r="C27" s="157"/>
      <c r="D27" s="157"/>
      <c r="E27" s="157"/>
      <c r="F27" s="157"/>
    </row>
    <row r="28" spans="1:6" x14ac:dyDescent="0.25">
      <c r="A28" s="42"/>
      <c r="B28" s="157"/>
      <c r="C28" s="157"/>
      <c r="D28" s="157"/>
      <c r="E28" s="157"/>
      <c r="F28" s="157"/>
    </row>
    <row r="29" spans="1:6" x14ac:dyDescent="0.25">
      <c r="A29" s="42"/>
      <c r="B29" s="157"/>
      <c r="C29" s="157"/>
      <c r="D29" s="157"/>
      <c r="E29" s="157"/>
      <c r="F29" s="157"/>
    </row>
    <row r="30" spans="1:6" x14ac:dyDescent="0.25">
      <c r="A30" s="42"/>
      <c r="B30" s="45"/>
    </row>
    <row r="31" spans="1:6" x14ac:dyDescent="0.25">
      <c r="A31" s="42"/>
    </row>
    <row r="32" spans="1:6" x14ac:dyDescent="0.25">
      <c r="A32" s="42"/>
    </row>
    <row r="33" spans="1:6" x14ac:dyDescent="0.25">
      <c r="A33" s="42"/>
    </row>
    <row r="34" spans="1:6" x14ac:dyDescent="0.25">
      <c r="A34" s="42"/>
    </row>
    <row r="35" spans="1:6" x14ac:dyDescent="0.25">
      <c r="A35" s="42"/>
    </row>
    <row r="36" spans="1:6" x14ac:dyDescent="0.25">
      <c r="A36" s="42"/>
      <c r="B36" s="49"/>
      <c r="C36" s="50"/>
      <c r="D36" s="50"/>
      <c r="E36" s="50"/>
      <c r="F36" s="50"/>
    </row>
    <row r="37" spans="1:6" x14ac:dyDescent="0.25">
      <c r="A37" s="42"/>
      <c r="B37" s="49"/>
      <c r="C37" s="50"/>
      <c r="D37" s="50"/>
      <c r="E37" s="50"/>
      <c r="F37" s="50"/>
    </row>
    <row r="38" spans="1:6" x14ac:dyDescent="0.25">
      <c r="A38" s="42"/>
      <c r="B38" s="49"/>
      <c r="C38" s="50"/>
      <c r="D38" s="50"/>
      <c r="E38" s="50"/>
      <c r="F38" s="50"/>
    </row>
    <row r="39" spans="1:6" x14ac:dyDescent="0.25">
      <c r="A39" s="42"/>
      <c r="B39" s="49"/>
      <c r="C39" s="50"/>
      <c r="D39" s="50"/>
      <c r="E39" s="50"/>
      <c r="F39" s="50"/>
    </row>
    <row r="40" spans="1:6" x14ac:dyDescent="0.25">
      <c r="A40" s="42"/>
      <c r="B40" s="49"/>
      <c r="C40" s="50"/>
      <c r="D40" s="50"/>
      <c r="E40" s="50"/>
      <c r="F40" s="50"/>
    </row>
    <row r="41" spans="1:6" x14ac:dyDescent="0.25">
      <c r="A41" s="42"/>
      <c r="B41" s="49"/>
      <c r="C41" s="50"/>
      <c r="D41" s="50"/>
      <c r="E41" s="50"/>
      <c r="F41" s="50"/>
    </row>
    <row r="42" spans="1:6" x14ac:dyDescent="0.25">
      <c r="A42" s="42"/>
      <c r="B42" s="43"/>
      <c r="C42" s="50"/>
      <c r="D42" s="50"/>
      <c r="E42" s="50"/>
      <c r="F42" s="50"/>
    </row>
    <row r="43" spans="1:6" x14ac:dyDescent="0.25">
      <c r="A43" s="52"/>
      <c r="B43" s="52"/>
      <c r="C43" s="53"/>
      <c r="D43" s="5"/>
      <c r="E43" s="5"/>
      <c r="F43" s="5"/>
    </row>
    <row r="44" spans="1:6" x14ac:dyDescent="0.25">
      <c r="A44" s="54" t="s">
        <v>43</v>
      </c>
      <c r="C44" s="55"/>
      <c r="D44" s="5"/>
      <c r="E44" s="5"/>
      <c r="F44" s="5"/>
    </row>
    <row r="45" spans="1:6" x14ac:dyDescent="0.25">
      <c r="A45" s="54"/>
      <c r="C45" s="55"/>
      <c r="D45" s="5"/>
      <c r="E45" s="5"/>
      <c r="F45" s="5"/>
    </row>
    <row r="46" spans="1:6" x14ac:dyDescent="0.25">
      <c r="A46" s="54"/>
      <c r="C46" s="55"/>
      <c r="D46" s="5"/>
      <c r="E46" s="5"/>
      <c r="F46" s="5"/>
    </row>
    <row r="47" spans="1:6" x14ac:dyDescent="0.25">
      <c r="A47" s="52"/>
      <c r="B47" s="53"/>
      <c r="C47" s="53"/>
      <c r="D47" s="5"/>
      <c r="E47" s="56"/>
      <c r="F47" s="56" t="s">
        <v>7</v>
      </c>
    </row>
    <row r="48" spans="1:6" x14ac:dyDescent="0.25">
      <c r="A48" s="54" t="s">
        <v>44</v>
      </c>
      <c r="C48" s="55"/>
      <c r="D48" s="5"/>
      <c r="E48" s="14" t="s">
        <v>37</v>
      </c>
      <c r="F48" s="41"/>
    </row>
    <row r="49" spans="1:6" x14ac:dyDescent="0.25">
      <c r="A49" s="51"/>
      <c r="B49" s="54"/>
      <c r="C49" s="55"/>
      <c r="D49" s="5"/>
      <c r="E49" s="14"/>
      <c r="F49" s="41"/>
    </row>
    <row r="50" spans="1:6" x14ac:dyDescent="0.25">
      <c r="A50" s="42"/>
      <c r="B50" s="43"/>
      <c r="C50" s="50"/>
      <c r="D50" s="50"/>
      <c r="E50" s="50"/>
      <c r="F50" s="50"/>
    </row>
    <row r="51" spans="1:6" x14ac:dyDescent="0.25">
      <c r="A51" s="51"/>
      <c r="B51" s="54"/>
      <c r="C51" s="55"/>
      <c r="D51" s="5"/>
      <c r="E51" s="14"/>
      <c r="F51" s="41"/>
    </row>
  </sheetData>
  <mergeCells count="11">
    <mergeCell ref="B26:F26"/>
    <mergeCell ref="B19:F22"/>
    <mergeCell ref="B24:F25"/>
    <mergeCell ref="B27:F29"/>
    <mergeCell ref="A1:F1"/>
    <mergeCell ref="E2:F2"/>
    <mergeCell ref="B5:D5"/>
    <mergeCell ref="B6:D6"/>
    <mergeCell ref="B7:D7"/>
    <mergeCell ref="B17:E17"/>
    <mergeCell ref="B23:F23"/>
  </mergeCells>
  <pageMargins left="0.70866141732283472" right="0.70866141732283472" top="0.74803149606299213" bottom="0.74803149606299213" header="0.31496062992125984" footer="0.31496062992125984"/>
  <pageSetup paperSize="9" scale="97" firstPageNumber="4" orientation="portrait" useFirstPageNumber="1" r:id="rId1"/>
  <headerFooter>
    <oddHeader xml:space="preserve">&amp;L&amp;"Arial,Regular"&amp;9FORT HARE UNIVERSITY
FINANCE OFFICES - HVAC INSTALLATION
</oddHeader>
    <oddFooter xml:space="preserve">&amp;L&amp;"Arial,Regular"&amp;9UNIVERSITY OF FORT HARE FINANCIAL OFFICE - HVAC UPGRADE&amp;R&amp;"Arial,Regular"&amp;9Page 6.&amp;P </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01 P&amp;G</vt:lpstr>
      <vt:lpstr>02 Equip &amp; Material</vt:lpstr>
      <vt:lpstr>Summary</vt:lpstr>
      <vt:lpstr>'01 P&amp;G'!Print_Area</vt:lpstr>
      <vt:lpstr>'02 Equip &amp; Material'!Print_Area</vt:lpstr>
      <vt:lpstr>'02 Equip &amp; Material'!Print_Titles</vt:lpstr>
      <vt:lpstr>Schedule2</vt:lpstr>
      <vt:lpstr>Summary_SubTotal</vt:lpstr>
      <vt:lpstr>Total_Schedule1</vt:lpstr>
      <vt:lpstr>Total_Schedule2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Brown</dc:creator>
  <cp:lastModifiedBy>Ashraf Brown</cp:lastModifiedBy>
  <cp:lastPrinted>2025-12-13T09:48:33Z</cp:lastPrinted>
  <dcterms:created xsi:type="dcterms:W3CDTF">2018-05-02T09:07:08Z</dcterms:created>
  <dcterms:modified xsi:type="dcterms:W3CDTF">2025-12-13T09:49:53Z</dcterms:modified>
</cp:coreProperties>
</file>