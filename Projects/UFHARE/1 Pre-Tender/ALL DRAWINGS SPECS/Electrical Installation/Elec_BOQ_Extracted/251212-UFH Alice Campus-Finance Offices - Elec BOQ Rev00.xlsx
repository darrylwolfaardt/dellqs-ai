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heckCompatibility="1" defaultThemeVersion="124226"/>
  <mc:AlternateContent xmlns:mc="http://schemas.openxmlformats.org/markup-compatibility/2006">
    <mc:Choice Requires="x15">
      <x15ac:absPath xmlns:x15ac="http://schemas.microsoft.com/office/spreadsheetml/2010/11/ac" url="M:\P8080 - Fort Hare University Finance offices (SVA)\E01-Elec\Specification\"/>
    </mc:Choice>
  </mc:AlternateContent>
  <xr:revisionPtr revIDLastSave="0" documentId="13_ncr:1_{1F1427F2-C740-453E-A0CE-F3E8641F6EF5}" xr6:coauthVersionLast="47" xr6:coauthVersionMax="47" xr10:uidLastSave="{00000000-0000-0000-0000-000000000000}"/>
  <bookViews>
    <workbookView xWindow="-108" yWindow="-108" windowWidth="23256" windowHeight="13896" tabRatio="671" xr2:uid="{00000000-000D-0000-FFFF-FFFF00000000}"/>
  </bookViews>
  <sheets>
    <sheet name="Bills" sheetId="4" r:id="rId1"/>
  </sheets>
  <definedNames>
    <definedName name="_xlnm.Print_Area" localSheetId="0">Bills!$A$1:$H$581</definedName>
    <definedName name="Print_Area_MI">#REF!</definedName>
    <definedName name="_xlnm.Print_Titles" localSheetId="0">Bills!$1:$1</definedName>
    <definedName name="Summ">#REF!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45" i="4" l="1"/>
  <c r="E177" i="4" l="1"/>
  <c r="E194" i="4" s="1"/>
  <c r="E160" i="4"/>
  <c r="E206" i="4" s="1"/>
  <c r="E213" i="4" s="1"/>
  <c r="F492" i="4"/>
  <c r="F494" i="4" s="1"/>
  <c r="F488" i="4"/>
  <c r="F490" i="4" s="1"/>
  <c r="F484" i="4"/>
  <c r="F486" i="4" s="1"/>
  <c r="E419" i="4"/>
  <c r="E417" i="4"/>
  <c r="E415" i="4"/>
  <c r="C419" i="4"/>
  <c r="C417" i="4"/>
  <c r="C415" i="4"/>
  <c r="E356" i="4"/>
  <c r="E413" i="4"/>
  <c r="E411" i="4"/>
  <c r="E409" i="4"/>
  <c r="E407" i="4"/>
  <c r="E405" i="4"/>
  <c r="E403" i="4"/>
  <c r="E401" i="4"/>
  <c r="C413" i="4"/>
  <c r="C411" i="4"/>
  <c r="C409" i="4"/>
  <c r="C407" i="4"/>
  <c r="C405" i="4"/>
  <c r="C403" i="4"/>
  <c r="G380" i="4"/>
  <c r="G382" i="4"/>
  <c r="G378" i="4"/>
  <c r="C95" i="4"/>
  <c r="G78" i="4"/>
  <c r="G73" i="4"/>
  <c r="E65" i="4"/>
  <c r="E63" i="4"/>
  <c r="E61" i="4"/>
  <c r="E59" i="4"/>
  <c r="G59" i="4" s="1"/>
  <c r="E57" i="4"/>
  <c r="G48" i="4"/>
  <c r="E143" i="4"/>
  <c r="F498" i="4"/>
  <c r="G498" i="4" s="1"/>
  <c r="C302" i="4"/>
  <c r="C303" i="4"/>
  <c r="G442" i="4"/>
  <c r="G440" i="4"/>
  <c r="G438" i="4"/>
  <c r="G436" i="4"/>
  <c r="G434" i="4"/>
  <c r="G97" i="4"/>
  <c r="G319" i="4"/>
  <c r="G313" i="4"/>
  <c r="E200" i="4"/>
  <c r="E198" i="4"/>
  <c r="G189" i="4"/>
  <c r="G191" i="4"/>
  <c r="E196" i="4"/>
  <c r="E208" i="4" l="1"/>
  <c r="E147" i="4"/>
  <c r="E76" i="4"/>
  <c r="G76" i="4" s="1"/>
  <c r="G71" i="4"/>
  <c r="C76" i="4"/>
  <c r="G65" i="4"/>
  <c r="G61" i="4"/>
  <c r="G50" i="4"/>
  <c r="G54" i="4"/>
  <c r="G494" i="4"/>
  <c r="G490" i="4"/>
  <c r="G486" i="4"/>
  <c r="B536" i="4"/>
  <c r="B537" i="4"/>
  <c r="B538" i="4"/>
  <c r="G529" i="4" l="1"/>
  <c r="G538" i="4" s="1"/>
  <c r="C401" i="4"/>
  <c r="G401" i="4"/>
  <c r="G403" i="4"/>
  <c r="G405" i="4"/>
  <c r="G407" i="4"/>
  <c r="G409" i="4"/>
  <c r="G411" i="4"/>
  <c r="G413" i="4"/>
  <c r="G415" i="4"/>
  <c r="G417" i="4"/>
  <c r="G419" i="4"/>
  <c r="E399" i="4"/>
  <c r="G399" i="4" s="1"/>
  <c r="C399" i="4"/>
  <c r="E397" i="4"/>
  <c r="G397" i="4" s="1"/>
  <c r="C397" i="4"/>
  <c r="G394" i="4"/>
  <c r="G92" i="4" l="1"/>
  <c r="G103" i="4" l="1"/>
  <c r="G105" i="4"/>
  <c r="G107" i="4"/>
  <c r="G109" i="4"/>
  <c r="G111" i="4"/>
  <c r="G113" i="4"/>
  <c r="C116" i="4"/>
  <c r="D116" i="4"/>
  <c r="E116" i="4"/>
  <c r="G116" i="4" s="1"/>
  <c r="C118" i="4"/>
  <c r="D118" i="4"/>
  <c r="E118" i="4"/>
  <c r="G118" i="4" s="1"/>
  <c r="C120" i="4"/>
  <c r="D120" i="4"/>
  <c r="E120" i="4"/>
  <c r="C122" i="4"/>
  <c r="D122" i="4"/>
  <c r="E122" i="4"/>
  <c r="G122" i="4" s="1"/>
  <c r="C124" i="4"/>
  <c r="D124" i="4"/>
  <c r="E124" i="4"/>
  <c r="G124" i="4" s="1"/>
  <c r="C126" i="4"/>
  <c r="D126" i="4"/>
  <c r="E126" i="4"/>
  <c r="G126" i="4" s="1"/>
  <c r="G143" i="4"/>
  <c r="G147" i="4"/>
  <c r="C150" i="4"/>
  <c r="D150" i="4"/>
  <c r="E150" i="4"/>
  <c r="G150" i="4" s="1"/>
  <c r="C152" i="4"/>
  <c r="D152" i="4"/>
  <c r="C154" i="4"/>
  <c r="D154" i="4"/>
  <c r="E154" i="4"/>
  <c r="G154" i="4" s="1"/>
  <c r="G120" i="4" l="1"/>
  <c r="C298" i="4"/>
  <c r="D298" i="4"/>
  <c r="E298" i="4"/>
  <c r="G298" i="4" s="1"/>
  <c r="C300" i="4"/>
  <c r="D300" i="4"/>
  <c r="E300" i="4"/>
  <c r="G300" i="4" s="1"/>
  <c r="D302" i="4"/>
  <c r="E302" i="4"/>
  <c r="G302" i="4" s="1"/>
  <c r="D303" i="4"/>
  <c r="E303" i="4"/>
  <c r="G303" i="4" s="1"/>
  <c r="C305" i="4"/>
  <c r="D305" i="4"/>
  <c r="E305" i="4"/>
  <c r="G305" i="4" s="1"/>
  <c r="G285" i="4"/>
  <c r="E152" i="4" l="1"/>
  <c r="G152" i="4" s="1"/>
  <c r="G145" i="4"/>
  <c r="G289" i="4"/>
  <c r="G390" i="4"/>
  <c r="G392" i="4"/>
  <c r="C346" i="4" l="1"/>
  <c r="E346" i="4"/>
  <c r="G346" i="4" s="1"/>
  <c r="C347" i="4"/>
  <c r="E347" i="4"/>
  <c r="G347" i="4" s="1"/>
  <c r="C349" i="4"/>
  <c r="E349" i="4"/>
  <c r="G349" i="4" s="1"/>
  <c r="C351" i="4"/>
  <c r="E351" i="4"/>
  <c r="G351" i="4" s="1"/>
  <c r="G338" i="4"/>
  <c r="G336" i="4"/>
  <c r="G334" i="4"/>
  <c r="G287" i="4" l="1"/>
  <c r="G95" i="4"/>
  <c r="G11" i="4"/>
  <c r="G388" i="4"/>
  <c r="G386" i="4"/>
  <c r="G384" i="4"/>
  <c r="G376" i="4"/>
  <c r="G366" i="4"/>
  <c r="C63" i="4" l="1"/>
  <c r="C57" i="4"/>
  <c r="G46" i="4"/>
  <c r="G23" i="4"/>
  <c r="G25" i="4"/>
  <c r="E345" i="4"/>
  <c r="C345" i="4"/>
  <c r="E343" i="4"/>
  <c r="C262" i="4"/>
  <c r="D262" i="4"/>
  <c r="E262" i="4"/>
  <c r="G262" i="4" s="1"/>
  <c r="G63" i="4" l="1"/>
  <c r="E317" i="4"/>
  <c r="G52" i="4" l="1"/>
  <c r="C296" i="4" l="1"/>
  <c r="D296" i="4"/>
  <c r="E296" i="4"/>
  <c r="G317" i="4" l="1"/>
  <c r="C317" i="4"/>
  <c r="E315" i="4"/>
  <c r="G315" i="4" s="1"/>
  <c r="C315" i="4"/>
  <c r="G311" i="4"/>
  <c r="G309" i="4"/>
  <c r="G358" i="4"/>
  <c r="C358" i="4"/>
  <c r="G356" i="4"/>
  <c r="G296" i="4"/>
  <c r="E294" i="4"/>
  <c r="G294" i="4" s="1"/>
  <c r="D294" i="4"/>
  <c r="C294" i="4"/>
  <c r="G291" i="4"/>
  <c r="G273" i="4"/>
  <c r="G271" i="4"/>
  <c r="G269" i="4"/>
  <c r="C253" i="4"/>
  <c r="D253" i="4"/>
  <c r="E253" i="4"/>
  <c r="G253" i="4" s="1"/>
  <c r="C255" i="4"/>
  <c r="D255" i="4"/>
  <c r="E255" i="4"/>
  <c r="G255" i="4" s="1"/>
  <c r="C256" i="4"/>
  <c r="D256" i="4"/>
  <c r="E256" i="4"/>
  <c r="G256" i="4" s="1"/>
  <c r="C258" i="4"/>
  <c r="D258" i="4"/>
  <c r="E258" i="4"/>
  <c r="G258" i="4" s="1"/>
  <c r="C260" i="4"/>
  <c r="D260" i="4"/>
  <c r="E260" i="4"/>
  <c r="G260" i="4" s="1"/>
  <c r="C251" i="4"/>
  <c r="D251" i="4"/>
  <c r="E251" i="4"/>
  <c r="G251" i="4" s="1"/>
  <c r="E249" i="4"/>
  <c r="G249" i="4" s="1"/>
  <c r="D249" i="4"/>
  <c r="C249" i="4"/>
  <c r="G246" i="4"/>
  <c r="G244" i="4"/>
  <c r="G242" i="4"/>
  <c r="G240" i="4"/>
  <c r="G229" i="4"/>
  <c r="G227" i="4"/>
  <c r="G225" i="4"/>
  <c r="G223" i="4"/>
  <c r="G345" i="4"/>
  <c r="G343" i="4"/>
  <c r="C343" i="4"/>
  <c r="G340" i="4"/>
  <c r="G333" i="4"/>
  <c r="G331" i="4"/>
  <c r="C215" i="4"/>
  <c r="C217" i="4"/>
  <c r="C213" i="4"/>
  <c r="E215" i="4"/>
  <c r="G215" i="4" s="1"/>
  <c r="E217" i="4"/>
  <c r="G217" i="4" s="1"/>
  <c r="G208" i="4"/>
  <c r="G210" i="4"/>
  <c r="C196" i="4"/>
  <c r="C198" i="4"/>
  <c r="C200" i="4"/>
  <c r="C194" i="4"/>
  <c r="G198" i="4"/>
  <c r="G200" i="4"/>
  <c r="G179" i="4"/>
  <c r="E171" i="4"/>
  <c r="G171" i="4" s="1"/>
  <c r="C171" i="4"/>
  <c r="E169" i="4"/>
  <c r="G169" i="4" s="1"/>
  <c r="C169" i="4"/>
  <c r="E167" i="4"/>
  <c r="G167" i="4" s="1"/>
  <c r="G164" i="4"/>
  <c r="G162" i="4"/>
  <c r="C167" i="4"/>
  <c r="G364" i="4" l="1"/>
  <c r="G213" i="4"/>
  <c r="G206" i="4"/>
  <c r="G196" i="4"/>
  <c r="G194" i="4"/>
  <c r="G177" i="4"/>
  <c r="G160" i="4"/>
  <c r="G21" i="4"/>
  <c r="G57" i="4"/>
  <c r="G19" i="4"/>
  <c r="G17" i="4"/>
  <c r="G15" i="4"/>
  <c r="G13" i="4"/>
  <c r="G9" i="4"/>
  <c r="G7" i="4"/>
  <c r="G35" i="4" l="1"/>
  <c r="G536" i="4" s="1"/>
  <c r="G82" i="4"/>
  <c r="G86" i="4" s="1"/>
  <c r="G133" i="4" l="1"/>
  <c r="G137" i="4" s="1"/>
  <c r="G183" i="4" s="1"/>
  <c r="G187" i="4" s="1"/>
  <c r="G234" i="4" s="1"/>
  <c r="G238" i="4" s="1"/>
  <c r="G279" i="4" s="1"/>
  <c r="G283" i="4" s="1"/>
  <c r="G322" i="4" s="1"/>
  <c r="G326" i="4" s="1"/>
  <c r="G369" i="4" s="1"/>
  <c r="G373" i="4" s="1"/>
  <c r="G427" i="4" s="1"/>
  <c r="G431" i="4" s="1"/>
  <c r="G478" i="4" s="1"/>
  <c r="G537" i="4" l="1"/>
  <c r="G539" i="4" s="1"/>
  <c r="G540" i="4" s="1"/>
  <c r="G541" i="4" s="1"/>
</calcChain>
</file>

<file path=xl/sharedStrings.xml><?xml version="1.0" encoding="utf-8"?>
<sst xmlns="http://schemas.openxmlformats.org/spreadsheetml/2006/main" count="579" uniqueCount="344">
  <si>
    <t xml:space="preserve"> </t>
  </si>
  <si>
    <t>Item</t>
  </si>
  <si>
    <t>Description</t>
  </si>
  <si>
    <t>Unit</t>
  </si>
  <si>
    <t>Qty</t>
  </si>
  <si>
    <t>Sum</t>
  </si>
  <si>
    <t>No.</t>
  </si>
  <si>
    <t>Preliminary and General Items, pertaining specifically to the Electrical Installation.</t>
  </si>
  <si>
    <t xml:space="preserve"> Rate </t>
  </si>
  <si>
    <t xml:space="preserve"> Amount </t>
  </si>
  <si>
    <t xml:space="preserve"> R            C   </t>
  </si>
  <si>
    <t xml:space="preserve">   </t>
  </si>
  <si>
    <t>No</t>
  </si>
  <si>
    <t>2.5.1</t>
  </si>
  <si>
    <t>2.5.2</t>
  </si>
  <si>
    <t>m</t>
  </si>
  <si>
    <t>2.1.1</t>
  </si>
  <si>
    <t>2.1.2</t>
  </si>
  <si>
    <t>2.3.1</t>
  </si>
  <si>
    <t>2.3.2</t>
  </si>
  <si>
    <t>2.4.1</t>
  </si>
  <si>
    <t>2.4.2</t>
  </si>
  <si>
    <t>2.6.1</t>
  </si>
  <si>
    <t>2.6.2</t>
  </si>
  <si>
    <t>2.6.3</t>
  </si>
  <si>
    <t>2.6.4</t>
  </si>
  <si>
    <t>2.6.5</t>
  </si>
  <si>
    <t>2.7.1</t>
  </si>
  <si>
    <t>2.7.2</t>
  </si>
  <si>
    <t>Nett price for site establishment and compliance with the conditions of contract, including storage, insurance and other overheads.</t>
  </si>
  <si>
    <t>Insurance and Guarantee</t>
  </si>
  <si>
    <t>Liaison with Main Contractor and for attendance for the checking of Builders' and other Sub-contractors' work pertaining to the Electrical Installation.</t>
  </si>
  <si>
    <t>Nett price to comply with all the requirements of the Health &amp; Safety specifications of the main contractor.</t>
  </si>
  <si>
    <t>Site supervision and reporting according to the Health and Safety Specifications.</t>
  </si>
  <si>
    <t>Liaison with the various ICT services with their installation and making sure all their power requirements and wireways are installed correctly. Namely, CCTV, Data, Access Control, etc.</t>
  </si>
  <si>
    <t>Supply</t>
  </si>
  <si>
    <t xml:space="preserve"> Install</t>
  </si>
  <si>
    <t>Cables</t>
  </si>
  <si>
    <t>Install</t>
  </si>
  <si>
    <t>PVC Conduit and PVC trunking</t>
  </si>
  <si>
    <t xml:space="preserve"> PVC conduit and accessories.  Conduit applied and installed, including  couplings, cutting, reaming, bending,  fixing, etc. as per specification.</t>
  </si>
  <si>
    <t xml:space="preserve"> 20 mm diameter</t>
  </si>
  <si>
    <t xml:space="preserve"> Conduit boxes for PVC Conduit</t>
  </si>
  <si>
    <t>Outlet boxes, round 65mm diameter x 25mm deep, complete with covers and screws, with conduit ends .</t>
  </si>
  <si>
    <t xml:space="preserve"> Conductors</t>
  </si>
  <si>
    <t xml:space="preserve">PVC insulated 600/1000V Copper conductors, including earth, drawn into circuit. </t>
  </si>
  <si>
    <t xml:space="preserve"> 1.5 mm² - (House Wire)</t>
  </si>
  <si>
    <t>Switching units</t>
  </si>
  <si>
    <t>2.8.1</t>
  </si>
  <si>
    <t>2.8.2</t>
  </si>
  <si>
    <t>2.8.3</t>
  </si>
  <si>
    <t>2.8.4</t>
  </si>
  <si>
    <t xml:space="preserve"> Luminaires</t>
  </si>
  <si>
    <t>2.10</t>
  </si>
  <si>
    <t>2.10.1</t>
  </si>
  <si>
    <t>2.10.2</t>
  </si>
  <si>
    <t>2.10.3</t>
  </si>
  <si>
    <t>2.10.4</t>
  </si>
  <si>
    <t xml:space="preserve"> Supply </t>
  </si>
  <si>
    <t>2.4.3</t>
  </si>
  <si>
    <t>2.4.4</t>
  </si>
  <si>
    <t>2.4.5</t>
  </si>
  <si>
    <t>2.4.6</t>
  </si>
  <si>
    <t>2.4.7</t>
  </si>
  <si>
    <t>2.4.8</t>
  </si>
  <si>
    <t>Welded Wire Mesh medium duty cable tray</t>
  </si>
  <si>
    <t xml:space="preserve">Supply and install brackets, cross arms and Welded Wire Mesh galvanised medium duty wire cable tray complete with hangers brackets, covers and threaded rods, couplers etc. </t>
  </si>
  <si>
    <t>Welded Wire Mesh MD cable tray - 150mm wide</t>
  </si>
  <si>
    <t>Welded wire mesh 90° Horizontal Elbow, internal or external , 150mm</t>
  </si>
  <si>
    <t>Tee Piece - 150mm</t>
  </si>
  <si>
    <t>2.5.3</t>
  </si>
  <si>
    <t>2.5.4</t>
  </si>
  <si>
    <t>2.5.5</t>
  </si>
  <si>
    <t xml:space="preserve"> 25 mm diameter</t>
  </si>
  <si>
    <t>2.6.6</t>
  </si>
  <si>
    <t>Round box and lid for 20mm conduit</t>
  </si>
  <si>
    <t>Round box and lid for 25mm conduit</t>
  </si>
  <si>
    <t>2.7.3</t>
  </si>
  <si>
    <t>2.7.4</t>
  </si>
  <si>
    <t>2.7.5</t>
  </si>
  <si>
    <t>2.7.6</t>
  </si>
  <si>
    <t>2.7.7</t>
  </si>
  <si>
    <t>2.7.8</t>
  </si>
  <si>
    <t xml:space="preserve"> 2.5 mm² - (House Wire)</t>
  </si>
  <si>
    <t xml:space="preserve"> 4 mm² - (House Wire)</t>
  </si>
  <si>
    <t>2.8.5</t>
  </si>
  <si>
    <t>2.8.6</t>
  </si>
  <si>
    <t>Recessed single-load 360deg PIR occupancy sensor.
Schneider Electric: SAE-UE-MS-CSBWE</t>
  </si>
  <si>
    <t>2.10.5</t>
  </si>
  <si>
    <t>2.10.6</t>
  </si>
  <si>
    <t>2.10.7</t>
  </si>
  <si>
    <t>2.10.8</t>
  </si>
  <si>
    <t>2.10.9</t>
  </si>
  <si>
    <t>2.10.10</t>
  </si>
  <si>
    <t>2.10.11</t>
  </si>
  <si>
    <t>2.10.12</t>
  </si>
  <si>
    <t>Power Skirting</t>
  </si>
  <si>
    <t>16A SSO, 164-1, skirting type complete with covers and cradles (Normal)</t>
  </si>
  <si>
    <t xml:space="preserve">Data/Telephone outlets, 1 x RJ45 complete with cradle &amp; covers, skirting type </t>
  </si>
  <si>
    <t>USB Duo &amp; blank, skirting type complete with covers and cradles</t>
  </si>
  <si>
    <t>Internal Corners for Power Skirting - 2 Tier</t>
  </si>
  <si>
    <t>End caps for Power Skirting - 2 Tier</t>
  </si>
  <si>
    <t>2.10.13</t>
  </si>
  <si>
    <t>2.10.14</t>
  </si>
  <si>
    <t xml:space="preserve"> Switched socket outlets</t>
  </si>
  <si>
    <t>Single SSO - Weather proof - S15</t>
  </si>
  <si>
    <t>2.11.1</t>
  </si>
  <si>
    <t>2.11.2</t>
  </si>
  <si>
    <t>2.11.3</t>
  </si>
  <si>
    <t>2.11.4</t>
  </si>
  <si>
    <t>2.11.5</t>
  </si>
  <si>
    <t>2.11.6</t>
  </si>
  <si>
    <t>2.12.1</t>
  </si>
  <si>
    <t>2.12.2</t>
  </si>
  <si>
    <t>2.12.3</t>
  </si>
  <si>
    <t>2.12.4</t>
  </si>
  <si>
    <t>Plug sockets for luminaires</t>
  </si>
  <si>
    <t xml:space="preserve"> Supply</t>
  </si>
  <si>
    <t>5A 3pin socket outlet, unswitched, for power connection to luminaire, 60mm diameter.</t>
  </si>
  <si>
    <t>2.13.1</t>
  </si>
  <si>
    <t>2.13.2</t>
  </si>
  <si>
    <t xml:space="preserve"> Isolators</t>
  </si>
  <si>
    <t>20 A  double pole isolator complete, flush or surface, 100x50.</t>
  </si>
  <si>
    <t>Weather Proof, Surface 32A  double pole isolator complete.</t>
  </si>
  <si>
    <t>2.14.1</t>
  </si>
  <si>
    <t>2.14.2</t>
  </si>
  <si>
    <t>4mm², Surfix 2-core &amp; Earth (For Mech. Equipment)</t>
  </si>
  <si>
    <t>2.15.1</t>
  </si>
  <si>
    <t>Compilation of detail Operating and Maintenance Manuals, as-built drawings and documentation as specified and to the satisfaction of the Engineer.
1-off printed copy and 2 x electronic versions on memory stick.</t>
  </si>
  <si>
    <t>Supply, install, terminate and commissioning
the following.</t>
  </si>
  <si>
    <t>Sum Values and Allowances</t>
  </si>
  <si>
    <t>All labour, testing and issuing of the appropriate COC's. with regards to the Electrical Installation</t>
  </si>
  <si>
    <t xml:space="preserve"> 20 mm diameter - Flexible conduit (Sprague)</t>
  </si>
  <si>
    <t>Date:</t>
  </si>
  <si>
    <t>SUMMARY</t>
  </si>
  <si>
    <t>Sub Total</t>
  </si>
  <si>
    <t>15% VAT</t>
  </si>
  <si>
    <t>Total</t>
  </si>
  <si>
    <t>2.5.6</t>
  </si>
  <si>
    <t xml:space="preserve">Supplying or hiring, erection &amp; dismantling of complete mobile cranes, scissor jacks and cherry pickers, including access ladders, warning and safety signs as required for the installation for the duration of the contract. </t>
  </si>
  <si>
    <t>2.1.3</t>
  </si>
  <si>
    <t>2.1.4</t>
  </si>
  <si>
    <t>General Electrical</t>
  </si>
  <si>
    <t>2.4.9</t>
  </si>
  <si>
    <t>2.4.10</t>
  </si>
  <si>
    <t>16A, SSO, 164-2 (Euro) with switch skirting type complete with, switch, covers and cradles (Normal)</t>
  </si>
  <si>
    <t>Blank 100x100 cover for mech wiring/controls</t>
  </si>
  <si>
    <t>Name of specialised Electrical Contractor:</t>
  </si>
  <si>
    <t>Distribution Boards</t>
  </si>
  <si>
    <t>2.3.3</t>
  </si>
  <si>
    <t xml:space="preserve">P9000 Trunking </t>
  </si>
  <si>
    <t>Supply and install the P9000 trunking complete with hangers brackets, covers and threaded rods, purpose made bends and offsets as indicated on the drawings.</t>
  </si>
  <si>
    <t xml:space="preserve"> P9000 trunking, complete with splices and pvc covers.</t>
  </si>
  <si>
    <t>T-Piece for P9000</t>
  </si>
  <si>
    <t xml:space="preserve"> Elbow, 90º bend for P9000</t>
  </si>
  <si>
    <t xml:space="preserve"> End cap for P9000</t>
  </si>
  <si>
    <t xml:space="preserve"> 16 A , 1-lever, 1x1way, Weatherproof - IP65</t>
  </si>
  <si>
    <t>Supply, install, connect and commission the following luminaires and as per the specification luminaire schedule.</t>
  </si>
  <si>
    <t>Photocell, 16A, Daylight Switch Spectrum 16A QS16</t>
  </si>
  <si>
    <t>Power skirting, OBO, white, 2 tier, complete with covers, end caps and all accessories.</t>
  </si>
  <si>
    <t>2 tier Power Skirting, OBO White, complete with covers, splices etc.</t>
  </si>
  <si>
    <t xml:space="preserve"> Internal or external riser for P9000</t>
  </si>
  <si>
    <t xml:space="preserve"> Distribution outlet for P9000</t>
  </si>
  <si>
    <t>2.4.11</t>
  </si>
  <si>
    <t>2.4.12</t>
  </si>
  <si>
    <t xml:space="preserve"> 100 x 50 x 50 Box - Recessed or Surface</t>
  </si>
  <si>
    <t xml:space="preserve"> 100 x 100 x 50 Box - Recessed or Surface</t>
  </si>
  <si>
    <t>Sub total for Section1 - Preliminary and General Items</t>
  </si>
  <si>
    <t>Sub total for Section 2 - General Electrical</t>
  </si>
  <si>
    <t>Sub total for Section 3 - Sum Values and Allowances</t>
  </si>
  <si>
    <t>Carried Forward to next Page</t>
  </si>
  <si>
    <t>Brought Forward from previous Page</t>
  </si>
  <si>
    <t>(Supply - continued)</t>
  </si>
  <si>
    <t>Particulars of specialist Electrical Contractor:</t>
  </si>
  <si>
    <t>As on the registration certificate as an electrical contractor, from the Department of Labour, as per the Occupational Health and Safety Act, 1993: Electrical Installation Regulation Registration 6(4): Registration of Electrical Contractor.</t>
  </si>
  <si>
    <t>Registered Number :</t>
  </si>
  <si>
    <t>Name of installation electrician on registration certificate:</t>
  </si>
  <si>
    <t>Registration number of the above person:</t>
  </si>
  <si>
    <t>INFORMATION SCHEDULE</t>
  </si>
  <si>
    <t>Trademark/Manufacturer</t>
  </si>
  <si>
    <t>On behalf of the Bidder, who warrants his/her authority</t>
  </si>
  <si>
    <t>Contact Person:</t>
  </si>
  <si>
    <t>Cell Phone Number:</t>
  </si>
  <si>
    <t>E-Mail Address:</t>
  </si>
  <si>
    <t>Signature of Electrical contractor:</t>
  </si>
  <si>
    <t>Cable Tray, Wire basket and trunking</t>
  </si>
  <si>
    <t>PVC Conduit and accessories</t>
  </si>
  <si>
    <t>Galvanised conduit and accessories.</t>
  </si>
  <si>
    <t>PVC-insulated conductors</t>
  </si>
  <si>
    <t>2.15.2</t>
  </si>
  <si>
    <t>2.15.3</t>
  </si>
  <si>
    <t>2.15.4</t>
  </si>
  <si>
    <t>2.15.5</t>
  </si>
  <si>
    <t>Plugs and switches</t>
  </si>
  <si>
    <t>Type A Light Fitting</t>
  </si>
  <si>
    <t>Type B Light Fitting</t>
  </si>
  <si>
    <t>Type F Light Fitting</t>
  </si>
  <si>
    <t>Type E Light Fitting</t>
  </si>
  <si>
    <t>Type D Light Fitting</t>
  </si>
  <si>
    <t>Type G Light Fitting</t>
  </si>
  <si>
    <t>Type H Light Fitting</t>
  </si>
  <si>
    <t>Allow for the following provisional amounts:</t>
  </si>
  <si>
    <t>Prov. Sum</t>
  </si>
  <si>
    <t>%</t>
  </si>
  <si>
    <t>3.1.1</t>
  </si>
  <si>
    <t>3.1.2</t>
  </si>
  <si>
    <t>Profit and attendance on item 3.1.1 above</t>
  </si>
  <si>
    <t>3.1.3</t>
  </si>
  <si>
    <t>3.1.4</t>
  </si>
  <si>
    <t>Profit and attendance on item 3.1.3 above</t>
  </si>
  <si>
    <t>3.1.5</t>
  </si>
  <si>
    <t>3.1.6</t>
  </si>
  <si>
    <t>Profit and attendance on item 3.1.5 above</t>
  </si>
  <si>
    <t>3.1.7</t>
  </si>
  <si>
    <t>3.1.8</t>
  </si>
  <si>
    <t>Profit and attendance on item 3.1.7 above</t>
  </si>
  <si>
    <t>6mm², Surfix 4-core &amp; Earth (For Mech. Equipment)</t>
  </si>
  <si>
    <t>2.1.5</t>
  </si>
  <si>
    <t>2.1.6</t>
  </si>
  <si>
    <t>2.5mm², Surfix 2-core &amp; Earth (For Mech. Equipment)</t>
  </si>
  <si>
    <t>2.1.7</t>
  </si>
  <si>
    <t>2.1.8</t>
  </si>
  <si>
    <t>LV Cable terminations</t>
  </si>
  <si>
    <t>For PVC/PVC/SWA/ECC/PVC cables, including armour glands, shrouds, lugs, connections, insulation tape, cadmium plated bolts, nuts, spring-washers, etc.</t>
  </si>
  <si>
    <t>2.2.1</t>
  </si>
  <si>
    <t>2.2.2</t>
  </si>
  <si>
    <t>6mm², Surfix 4-core &amp; Earth (For Mech. Equipment &amp; Main UPS Supply)</t>
  </si>
  <si>
    <t>Double Switched Socket Outlet, 100 x 100 (4x4) 
1 x std old RSA SSO 164-1 &amp; 
1 x new std RSA SSO 164-2.</t>
  </si>
  <si>
    <t>Double Switched Socket Outlet - 100x100, dedicated, shaved earth, red.</t>
  </si>
  <si>
    <t>2.12.5</t>
  </si>
  <si>
    <t>2.12.6</t>
  </si>
  <si>
    <t xml:space="preserve"> 16 A , 1-lever , 1-way - 50x100,
</t>
  </si>
  <si>
    <t xml:space="preserve"> 16 A , 1-lever , 1x2-way - 50x100,
</t>
  </si>
  <si>
    <t xml:space="preserve"> 16 A , 1-lever and Rotary dimmer - Shuttle - 50x100,
</t>
  </si>
  <si>
    <t>Earthing installation</t>
  </si>
  <si>
    <t>Supply and install the project main earthing installation complete with all necessary equipment e.g. electrodes, copper conductors, draw boxes, terminations on main earth bar etc. to comply with Supply Authority requirements and the Specification.</t>
  </si>
  <si>
    <t>Bonding of taps and hand wash basins.</t>
  </si>
  <si>
    <t>Bonding of gutters and down pipes</t>
  </si>
  <si>
    <t>Earthing continuity tests.</t>
  </si>
  <si>
    <t>Testing and commissioning of project main
earthing installation to the satisfaction of the
Supply Authority. (including earth resistance
tests.)</t>
  </si>
  <si>
    <t>2.16.1</t>
  </si>
  <si>
    <r>
      <rPr>
        <b/>
        <u/>
        <sz val="10"/>
        <rFont val="Arial"/>
        <family val="2"/>
      </rPr>
      <t>Note:</t>
    </r>
    <r>
      <rPr>
        <sz val="10"/>
        <rFont val="Arial"/>
        <family val="2"/>
      </rPr>
      <t xml:space="preserve"> Written quotes from suppliers will be required for these items, as for proof of cost.</t>
    </r>
  </si>
  <si>
    <t>CP2, Set of outlets in power skirting consisting of: 1xold RSA SSO, 1xnew RSA SSO(Euro), 2xDed SSO, 1xUSB SSO, 2xRJ45 outlets</t>
  </si>
  <si>
    <t>Weather Proof, Surface 32A  triple pole isolator complete.</t>
  </si>
  <si>
    <t xml:space="preserve">HDMI outlet, 100x50, </t>
  </si>
  <si>
    <t xml:space="preserve"> Supply, install and connect recessed 16 A, switched socket outlet complete with cover plate, 100x100.
</t>
  </si>
  <si>
    <t xml:space="preserve">Double RJ45 outlet, 100x50, 
</t>
  </si>
  <si>
    <t>Allowance to obtain the services of an accredited Access Control supplier and installer as selected by the engineer, Principal Agent and Client. Carry to Amount.</t>
  </si>
  <si>
    <t>Allowance to obtain the services of an accredited CCTV supplier and installer as selected by the engineer, Principal Agent and Client. Carry to Amount.</t>
  </si>
  <si>
    <t>Allowance to obtain the services of an accredited Data cabling supplier and installer as selected by the engineer, Principal Agent and Client. Carry to Amount</t>
  </si>
  <si>
    <t>Light Fittings - Provide Lighting Schedule</t>
  </si>
  <si>
    <t>Allowance for Design Refinement. Carry to Amount</t>
  </si>
  <si>
    <t xml:space="preserve">BILL: ELECTRICAL INSTALLATION </t>
  </si>
  <si>
    <t>Allowance for liaising with the Technical Department, for switching off of the power and identifying the local distribution boards.</t>
  </si>
  <si>
    <t>Cable 600/1000V, PVC/PVC/SWA/ECC/PVC, 
copper cable as specified,
35mm² x 4-Core + ECC. (For Main Supply)</t>
  </si>
  <si>
    <t>Cable 600/1000V, PVC/PVC/SWA/ECC/PVC, 
copper cable as specified,
10mm² x 4-Core + ECC. (For Mech. Equipment)</t>
  </si>
  <si>
    <t>2.1.9</t>
  </si>
  <si>
    <t>2.1.10</t>
  </si>
  <si>
    <t>1.1</t>
  </si>
  <si>
    <t>1.2</t>
  </si>
  <si>
    <t>1.3</t>
  </si>
  <si>
    <t>1.4</t>
  </si>
  <si>
    <t>1.5</t>
  </si>
  <si>
    <t>1.6</t>
  </si>
  <si>
    <t>1.7</t>
  </si>
  <si>
    <t>1.8</t>
  </si>
  <si>
    <t>1.9</t>
  </si>
  <si>
    <t>1.10</t>
  </si>
  <si>
    <t>2.1</t>
  </si>
  <si>
    <t>2.2</t>
  </si>
  <si>
    <t>35mm² x 4-Core + ECC. (For Main Supply)</t>
  </si>
  <si>
    <t>10mm² x 4-Core + ECC. (For Main Supply)</t>
  </si>
  <si>
    <t>2.2.3</t>
  </si>
  <si>
    <t>2.2.4</t>
  </si>
  <si>
    <t>2.3</t>
  </si>
  <si>
    <t>DB-FO</t>
  </si>
  <si>
    <t>Supply and Install in position the distribution boards, complete with trays, labels, conduit and trunking terminations as required and all other necessary items as per the drawing, 
P8080E01-003.</t>
  </si>
  <si>
    <t>Add the following equipment complete to the existing DB: 80 TP CB, 10kA.</t>
  </si>
  <si>
    <t>2.4</t>
  </si>
  <si>
    <t>2.6</t>
  </si>
  <si>
    <t>Type C1 Light Fitting</t>
  </si>
  <si>
    <t>Type C2 Light Fitting</t>
  </si>
  <si>
    <t>Type C3 Light Fitting</t>
  </si>
  <si>
    <t>Type C4 Light Fitting</t>
  </si>
  <si>
    <t>Type T Light Fitting</t>
  </si>
  <si>
    <t>2.5</t>
  </si>
  <si>
    <t>2.7</t>
  </si>
  <si>
    <t>2.8</t>
  </si>
  <si>
    <t>2.9</t>
  </si>
  <si>
    <t>2.9.1</t>
  </si>
  <si>
    <t>2.9.2</t>
  </si>
  <si>
    <t>2.9.3</t>
  </si>
  <si>
    <t>2.9.4</t>
  </si>
  <si>
    <t>2.9.5</t>
  </si>
  <si>
    <t>2.9.6</t>
  </si>
  <si>
    <t>2.9.7</t>
  </si>
  <si>
    <t>2.9.8</t>
  </si>
  <si>
    <t>2.9.9</t>
  </si>
  <si>
    <t>2.9.10</t>
  </si>
  <si>
    <t>2.9.11</t>
  </si>
  <si>
    <t>2.9.12</t>
  </si>
  <si>
    <t>2.9.13</t>
  </si>
  <si>
    <t>2.9.14</t>
  </si>
  <si>
    <t>2.9.15</t>
  </si>
  <si>
    <t>2.9.16</t>
  </si>
  <si>
    <t>2.11</t>
  </si>
  <si>
    <t>2.12</t>
  </si>
  <si>
    <t>2.12.7</t>
  </si>
  <si>
    <t>2.12.8</t>
  </si>
  <si>
    <t>2.12.9</t>
  </si>
  <si>
    <t>2.12.10</t>
  </si>
  <si>
    <t>2.12.11</t>
  </si>
  <si>
    <t>2.12.12</t>
  </si>
  <si>
    <t>2.13</t>
  </si>
  <si>
    <t>2.14</t>
  </si>
  <si>
    <t>2.14.3</t>
  </si>
  <si>
    <t>2.14.4</t>
  </si>
  <si>
    <t>2.14.5</t>
  </si>
  <si>
    <t>2.14.6</t>
  </si>
  <si>
    <t>2.14.7</t>
  </si>
  <si>
    <t>2.14.8</t>
  </si>
  <si>
    <t>2.14.9</t>
  </si>
  <si>
    <t>2.14.10</t>
  </si>
  <si>
    <t>2.14.11</t>
  </si>
  <si>
    <t>2.14.12</t>
  </si>
  <si>
    <t>2.14.13</t>
  </si>
  <si>
    <t>2.14.14</t>
  </si>
  <si>
    <t>2.14.15</t>
  </si>
  <si>
    <t>2.14.16</t>
  </si>
  <si>
    <t>2.14.17</t>
  </si>
  <si>
    <t>2.14.18</t>
  </si>
  <si>
    <t>2.14.19</t>
  </si>
  <si>
    <t>2.14.20</t>
  </si>
  <si>
    <t>2.14.21</t>
  </si>
  <si>
    <t>2.14.22</t>
  </si>
  <si>
    <t>2.14.23</t>
  </si>
  <si>
    <t>2.14.24</t>
  </si>
  <si>
    <t>2.15</t>
  </si>
  <si>
    <t>3.1</t>
  </si>
  <si>
    <t xml:space="preserve">Three Compartment Floor pop-up box complete equipped as per CP2
</t>
  </si>
  <si>
    <t>Weather Proof, Surface 63A  triple pole isolator complete.</t>
  </si>
  <si>
    <t>2.16</t>
  </si>
  <si>
    <t>Uninterrupted Power Supply (UPS)</t>
  </si>
  <si>
    <t>Supply, install and commission a 5KVA, 230V on-line UPS with 30 minute battery backup time at full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</si>
</sst>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R&quot;* #,##0.00_-;\-&quot;R&quot;* #,##0.00_-;_-&quot;R&quot;* &quot;-&quot;??_-;_-@_-"/>
    <numFmt numFmtId="164" formatCode="_ &quot;R&quot;\ * #,##0.00_ ;_ &quot;R&quot;\ * \-#,##0.00_ ;_ &quot;R&quot;\ * &quot;-&quot;??_ ;_ @_ "/>
    <numFmt numFmtId="165" formatCode="_ &quot;R&quot;\ * #,##0.00_ ;_ &quot;R&quot;\ * \-#,##0.00_ ;_ &quot;R&quot;\ * &quot; &quot;??_ ;_ @_ "/>
    <numFmt numFmtId="166" formatCode="General_)"/>
    <numFmt numFmtId="167" formatCode="&quot;Page &quot;#&quot; of 3&quot;"/>
    <numFmt numFmtId="168" formatCode="_-&quot;R&quot;* #,##0.00_-;\-&quot;R&quot;* #,##0.00_-;_-&quot;R&quot;* &quot; &quot;??_-;_-@_-"/>
    <numFmt numFmtId="169" formatCode="&quot;Page &quot;#&quot; of 126&quot;"/>
    <numFmt numFmtId="170" formatCode="0.0%"/>
    <numFmt numFmtId="171" formatCode="_ * #,##0.00_ ;_ * \-#,##0.00_ ;_ * &quot;-&quot;??_ ;_ @_ "/>
  </numFmts>
  <fonts count="12" x14ac:knownFonts="1">
    <font>
      <sz val="10"/>
      <name val="Arial"/>
    </font>
    <font>
      <b/>
      <sz val="10"/>
      <name val="Arial"/>
      <family val="2"/>
    </font>
    <font>
      <sz val="10"/>
      <name val="Arial"/>
      <family val="2"/>
    </font>
    <font>
      <sz val="10"/>
      <name val="Courier"/>
      <family val="3"/>
    </font>
    <font>
      <sz val="10"/>
      <color theme="1"/>
      <name val="Arial"/>
      <family val="2"/>
    </font>
    <font>
      <b/>
      <sz val="10"/>
      <color theme="1"/>
      <name val="Arial"/>
      <family val="2"/>
    </font>
    <font>
      <sz val="10"/>
      <color indexed="8"/>
      <name val="Arial"/>
      <family val="2"/>
    </font>
    <font>
      <sz val="10"/>
      <name val="Arial"/>
      <family val="2"/>
    </font>
    <font>
      <b/>
      <u/>
      <sz val="10"/>
      <name val="Arial"/>
      <family val="2"/>
    </font>
    <font>
      <i/>
      <sz val="10"/>
      <color theme="1"/>
      <name val="Arial"/>
      <family val="2"/>
    </font>
    <font>
      <sz val="10"/>
      <name val="Century Gothic"/>
      <family val="2"/>
    </font>
    <font>
      <b/>
      <sz val="10"/>
      <name val="Century Gothic"/>
      <family val="2"/>
    </font>
  </fonts>
  <fills count="4">
    <fill>
      <patternFill patternType="none"/>
    </fill>
    <fill>
      <patternFill patternType="gray125"/>
    </fill>
    <fill>
      <patternFill patternType="solid">
        <fgColor indexed="9"/>
        <bgColor indexed="64"/>
      </patternFill>
    </fill>
    <fill>
      <patternFill patternType="solid">
        <fgColor rgb="FFFFFFFF"/>
        <bgColor indexed="64"/>
      </patternFill>
    </fill>
  </fills>
  <borders count="20">
    <border>
      <left/>
      <right/>
      <top/>
      <bottom/>
      <diagonal/>
    </border>
    <border>
      <left style="thin">
        <color indexed="64"/>
      </left>
      <right style="thin">
        <color indexed="64"/>
      </right>
      <top/>
      <bottom/>
      <diagonal/>
    </border>
    <border>
      <left/>
      <right/>
      <top/>
      <bottom style="thin">
        <color indexed="64"/>
      </bottom>
      <diagonal/>
    </border>
    <border>
      <left/>
      <right style="thin">
        <color indexed="64"/>
      </right>
      <top/>
      <bottom/>
      <diagonal/>
    </border>
    <border>
      <left/>
      <right/>
      <top style="thin">
        <color indexed="64"/>
      </top>
      <bottom/>
      <diagonal/>
    </border>
    <border>
      <left/>
      <right/>
      <top/>
      <bottom style="hair">
        <color auto="1"/>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indexed="64"/>
      </left>
      <right style="thin">
        <color indexed="64"/>
      </right>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8">
    <xf numFmtId="0" fontId="0" fillId="0" borderId="0"/>
    <xf numFmtId="164" fontId="2" fillId="0" borderId="0" applyFont="0" applyFill="0" applyBorder="0" applyAlignment="0" applyProtection="0"/>
    <xf numFmtId="0" fontId="2" fillId="0" borderId="0"/>
    <xf numFmtId="166" fontId="3" fillId="0" borderId="0"/>
    <xf numFmtId="0" fontId="6" fillId="0" borderId="0"/>
    <xf numFmtId="44" fontId="7" fillId="0" borderId="0" applyFont="0" applyFill="0" applyBorder="0" applyAlignment="0" applyProtection="0"/>
    <xf numFmtId="0" fontId="3" fillId="0" borderId="0"/>
    <xf numFmtId="0" fontId="2" fillId="0" borderId="0"/>
  </cellStyleXfs>
  <cellXfs count="232">
    <xf numFmtId="0" fontId="0" fillId="0" borderId="0" xfId="0"/>
    <xf numFmtId="0" fontId="2" fillId="0" borderId="0" xfId="0" applyFont="1"/>
    <xf numFmtId="0" fontId="1" fillId="0" borderId="0" xfId="0" applyFont="1" applyAlignment="1">
      <alignment horizontal="center" vertical="center"/>
    </xf>
    <xf numFmtId="2" fontId="2" fillId="0" borderId="0" xfId="0" applyNumberFormat="1" applyFont="1"/>
    <xf numFmtId="0" fontId="1" fillId="2" borderId="0" xfId="0" applyFont="1" applyFill="1" applyAlignment="1">
      <alignment horizontal="center" vertical="center"/>
    </xf>
    <xf numFmtId="0" fontId="2" fillId="0" borderId="1" xfId="0" applyFont="1" applyBorder="1" applyAlignment="1">
      <alignment horizontal="center" vertical="top"/>
    </xf>
    <xf numFmtId="0" fontId="2" fillId="0" borderId="0" xfId="0" applyFont="1" applyAlignment="1">
      <alignment vertical="top"/>
    </xf>
    <xf numFmtId="2" fontId="2" fillId="0" borderId="0" xfId="0" applyNumberFormat="1" applyFont="1" applyAlignment="1">
      <alignment vertical="top"/>
    </xf>
    <xf numFmtId="0" fontId="2" fillId="0" borderId="0" xfId="0" applyFont="1" applyAlignment="1">
      <alignment horizontal="center" vertical="top"/>
    </xf>
    <xf numFmtId="0" fontId="2" fillId="0" borderId="0" xfId="0" applyFont="1" applyAlignment="1">
      <alignment vertical="center"/>
    </xf>
    <xf numFmtId="0" fontId="1" fillId="0" borderId="0" xfId="0" applyFont="1" applyAlignment="1">
      <alignment vertical="center"/>
    </xf>
    <xf numFmtId="165" fontId="2" fillId="0" borderId="0" xfId="0" applyNumberFormat="1" applyFont="1" applyAlignment="1">
      <alignment vertical="top"/>
    </xf>
    <xf numFmtId="0" fontId="1" fillId="0" borderId="1" xfId="0" applyFont="1" applyBorder="1" applyAlignment="1">
      <alignment horizontal="center"/>
    </xf>
    <xf numFmtId="165" fontId="1" fillId="0" borderId="1" xfId="0" applyNumberFormat="1" applyFont="1" applyBorder="1" applyAlignment="1">
      <alignment horizontal="center"/>
    </xf>
    <xf numFmtId="165" fontId="2" fillId="0" borderId="1" xfId="0" applyNumberFormat="1" applyFont="1" applyBorder="1" applyAlignment="1">
      <alignment vertical="top"/>
    </xf>
    <xf numFmtId="0" fontId="2" fillId="0" borderId="1" xfId="0" applyFont="1" applyBorder="1" applyAlignment="1">
      <alignment vertical="top" wrapText="1"/>
    </xf>
    <xf numFmtId="2" fontId="2" fillId="0" borderId="0" xfId="0" applyNumberFormat="1" applyFont="1" applyAlignment="1">
      <alignment vertical="center"/>
    </xf>
    <xf numFmtId="0" fontId="1" fillId="0" borderId="0" xfId="0" applyFont="1"/>
    <xf numFmtId="0" fontId="1" fillId="0" borderId="0" xfId="0" applyFont="1" applyAlignment="1">
      <alignment wrapText="1"/>
    </xf>
    <xf numFmtId="0" fontId="1" fillId="0" borderId="0" xfId="0" applyFont="1" applyAlignment="1">
      <alignment horizontal="right"/>
    </xf>
    <xf numFmtId="0" fontId="1" fillId="0" borderId="0" xfId="0" applyFont="1" applyAlignment="1">
      <alignment horizontal="right" vertical="center"/>
    </xf>
    <xf numFmtId="0" fontId="1" fillId="0" borderId="3" xfId="0" applyFont="1" applyBorder="1" applyAlignment="1">
      <alignment horizontal="right" vertical="center"/>
    </xf>
    <xf numFmtId="0" fontId="1" fillId="0" borderId="0" xfId="0" applyFont="1" applyAlignment="1">
      <alignment horizontal="left" vertical="center"/>
    </xf>
    <xf numFmtId="0" fontId="4" fillId="0" borderId="1" xfId="0" applyFont="1" applyBorder="1" applyAlignment="1">
      <alignment horizontal="center" vertical="top"/>
    </xf>
    <xf numFmtId="3" fontId="4" fillId="0" borderId="1" xfId="0" applyNumberFormat="1" applyFont="1" applyBorder="1" applyAlignment="1">
      <alignment horizontal="center" vertical="top"/>
    </xf>
    <xf numFmtId="165" fontId="4" fillId="0" borderId="1" xfId="0" applyNumberFormat="1" applyFont="1" applyBorder="1" applyAlignment="1">
      <alignment vertical="top"/>
    </xf>
    <xf numFmtId="166" fontId="4" fillId="0" borderId="1" xfId="3" applyFont="1" applyBorder="1" applyAlignment="1">
      <alignment horizontal="center" vertical="top" wrapText="1"/>
    </xf>
    <xf numFmtId="3" fontId="4" fillId="0" borderId="1" xfId="3" applyNumberFormat="1" applyFont="1" applyBorder="1" applyAlignment="1">
      <alignment horizontal="center" vertical="top" wrapText="1"/>
    </xf>
    <xf numFmtId="165" fontId="4" fillId="0" borderId="1" xfId="3" applyNumberFormat="1" applyFont="1" applyBorder="1" applyAlignment="1">
      <alignment horizontal="left" vertical="top" wrapText="1"/>
    </xf>
    <xf numFmtId="165" fontId="6" fillId="0" borderId="1" xfId="3" applyNumberFormat="1" applyFont="1" applyBorder="1" applyAlignment="1">
      <alignment horizontal="left" vertical="top" wrapText="1"/>
    </xf>
    <xf numFmtId="166" fontId="4" fillId="0" borderId="0" xfId="3" applyFont="1" applyAlignment="1">
      <alignment vertical="top" wrapText="1"/>
    </xf>
    <xf numFmtId="2" fontId="4" fillId="0" borderId="1" xfId="3" applyNumberFormat="1" applyFont="1" applyBorder="1" applyAlignment="1">
      <alignment horizontal="left" vertical="top" wrapText="1"/>
    </xf>
    <xf numFmtId="166" fontId="2" fillId="0" borderId="1" xfId="3" applyFont="1" applyBorder="1" applyAlignment="1">
      <alignment horizontal="center" vertical="top" wrapText="1"/>
    </xf>
    <xf numFmtId="165" fontId="2" fillId="0" borderId="1" xfId="3" applyNumberFormat="1" applyFont="1" applyBorder="1" applyAlignment="1">
      <alignment horizontal="left" vertical="top" wrapText="1"/>
    </xf>
    <xf numFmtId="0" fontId="2" fillId="0" borderId="0" xfId="2"/>
    <xf numFmtId="0" fontId="8" fillId="0" borderId="0" xfId="2" applyFont="1" applyAlignment="1">
      <alignment horizontal="left" vertical="top"/>
    </xf>
    <xf numFmtId="0" fontId="2" fillId="0" borderId="4" xfId="0" applyFont="1" applyBorder="1"/>
    <xf numFmtId="0" fontId="2" fillId="0" borderId="2" xfId="0" applyFont="1" applyBorder="1"/>
    <xf numFmtId="0" fontId="1" fillId="0" borderId="2" xfId="0" applyFont="1" applyBorder="1" applyAlignment="1">
      <alignment horizontal="left"/>
    </xf>
    <xf numFmtId="0" fontId="2" fillId="0" borderId="2" xfId="0" applyFont="1" applyBorder="1" applyAlignment="1">
      <alignment horizontal="center" vertical="top"/>
    </xf>
    <xf numFmtId="165" fontId="2" fillId="0" borderId="2" xfId="0" applyNumberFormat="1" applyFont="1" applyBorder="1" applyAlignment="1">
      <alignment vertical="top"/>
    </xf>
    <xf numFmtId="0" fontId="1" fillId="0" borderId="2" xfId="0" applyFont="1" applyBorder="1" applyAlignment="1">
      <alignment horizontal="right"/>
    </xf>
    <xf numFmtId="0" fontId="2" fillId="0" borderId="4" xfId="0" applyFont="1" applyBorder="1" applyAlignment="1">
      <alignment horizontal="center" vertical="top"/>
    </xf>
    <xf numFmtId="165" fontId="2" fillId="0" borderId="4" xfId="0" applyNumberFormat="1" applyFont="1" applyBorder="1" applyAlignment="1">
      <alignment vertical="top"/>
    </xf>
    <xf numFmtId="165" fontId="2" fillId="0" borderId="0" xfId="0" applyNumberFormat="1" applyFont="1" applyAlignment="1">
      <alignment horizontal="right" vertical="center"/>
    </xf>
    <xf numFmtId="0" fontId="2" fillId="0" borderId="0" xfId="0" applyFont="1" applyAlignment="1">
      <alignment horizontal="center" vertical="center"/>
    </xf>
    <xf numFmtId="165" fontId="1" fillId="0" borderId="0" xfId="0" applyNumberFormat="1" applyFont="1" applyAlignment="1">
      <alignment horizontal="right" vertical="center"/>
    </xf>
    <xf numFmtId="0" fontId="1" fillId="0" borderId="0" xfId="0" applyFont="1" applyAlignment="1">
      <alignment horizontal="left"/>
    </xf>
    <xf numFmtId="168" fontId="2" fillId="0" borderId="0" xfId="5" applyNumberFormat="1" applyFont="1" applyAlignment="1">
      <alignment horizontal="right" vertical="center"/>
    </xf>
    <xf numFmtId="168" fontId="1" fillId="0" borderId="6" xfId="5" applyNumberFormat="1" applyFont="1" applyBorder="1" applyAlignment="1">
      <alignment horizontal="right" vertical="center"/>
    </xf>
    <xf numFmtId="0" fontId="2" fillId="0" borderId="0" xfId="0" applyFont="1" applyAlignment="1">
      <alignment horizontal="right" vertical="center"/>
    </xf>
    <xf numFmtId="166" fontId="4" fillId="0" borderId="1" xfId="3" applyFont="1" applyBorder="1" applyAlignment="1">
      <alignment horizontal="left" vertical="top" wrapText="1"/>
    </xf>
    <xf numFmtId="166" fontId="5" fillId="0" borderId="1" xfId="3" applyFont="1" applyBorder="1" applyAlignment="1">
      <alignment horizontal="left" vertical="top" wrapText="1"/>
    </xf>
    <xf numFmtId="0" fontId="1" fillId="0" borderId="1" xfId="0" applyFont="1" applyBorder="1" applyAlignment="1">
      <alignment wrapText="1"/>
    </xf>
    <xf numFmtId="0" fontId="1" fillId="0" borderId="1" xfId="0" applyFont="1" applyBorder="1" applyAlignment="1">
      <alignment horizontal="justify" vertical="top" wrapText="1"/>
    </xf>
    <xf numFmtId="0" fontId="2" fillId="0" borderId="1" xfId="0" applyFont="1" applyBorder="1" applyAlignment="1">
      <alignment horizontal="left" vertical="top" wrapText="1"/>
    </xf>
    <xf numFmtId="0" fontId="2" fillId="0" borderId="1" xfId="0" applyFont="1" applyBorder="1" applyAlignment="1">
      <alignment horizontal="justify" vertical="top" wrapText="1"/>
    </xf>
    <xf numFmtId="0" fontId="1" fillId="0" borderId="1" xfId="0" applyFont="1" applyBorder="1" applyAlignment="1">
      <alignment horizontal="left" vertical="top" wrapText="1"/>
    </xf>
    <xf numFmtId="0" fontId="1" fillId="0" borderId="1" xfId="2" applyFont="1" applyBorder="1" applyAlignment="1">
      <alignment horizontal="left" vertical="top" wrapText="1"/>
    </xf>
    <xf numFmtId="0" fontId="2" fillId="0" borderId="1" xfId="0" applyFont="1" applyBorder="1" applyAlignment="1">
      <alignment horizontal="left" vertical="top"/>
    </xf>
    <xf numFmtId="0" fontId="5" fillId="0" borderId="1" xfId="0" applyFont="1" applyBorder="1" applyAlignment="1">
      <alignment horizontal="left" vertical="top" wrapText="1"/>
    </xf>
    <xf numFmtId="0" fontId="4" fillId="0" borderId="1" xfId="0" applyFont="1" applyBorder="1" applyAlignment="1">
      <alignment horizontal="left" vertical="top" wrapText="1"/>
    </xf>
    <xf numFmtId="166" fontId="4" fillId="0" borderId="1" xfId="3" applyFont="1" applyBorder="1" applyAlignment="1">
      <alignment vertical="top" wrapText="1"/>
    </xf>
    <xf numFmtId="166" fontId="2" fillId="0" borderId="1" xfId="3" applyFont="1" applyBorder="1" applyAlignment="1">
      <alignment horizontal="left" vertical="top" wrapText="1"/>
    </xf>
    <xf numFmtId="166" fontId="1" fillId="0" borderId="1" xfId="3" applyFont="1" applyBorder="1" applyAlignment="1">
      <alignment horizontal="left" vertical="top" wrapText="1"/>
    </xf>
    <xf numFmtId="166" fontId="2" fillId="0" borderId="0" xfId="3" applyFont="1" applyAlignment="1">
      <alignment vertical="top" wrapText="1"/>
    </xf>
    <xf numFmtId="0" fontId="1" fillId="0" borderId="1" xfId="0" applyFont="1" applyBorder="1" applyAlignment="1">
      <alignment vertical="top" wrapText="1"/>
    </xf>
    <xf numFmtId="0" fontId="2" fillId="0" borderId="2" xfId="0" applyFont="1" applyBorder="1" applyAlignment="1">
      <alignment horizontal="left" vertical="top" wrapText="1"/>
    </xf>
    <xf numFmtId="0" fontId="2" fillId="0" borderId="4" xfId="0" applyFont="1" applyBorder="1" applyAlignment="1">
      <alignment horizontal="left" vertical="top" wrapText="1"/>
    </xf>
    <xf numFmtId="0" fontId="2" fillId="0" borderId="0" xfId="0" applyFont="1" applyAlignment="1">
      <alignment horizontal="left" vertical="center" wrapText="1"/>
    </xf>
    <xf numFmtId="0" fontId="2" fillId="0" borderId="0" xfId="0" applyFont="1" applyAlignment="1">
      <alignment horizontal="left" vertical="top" wrapText="1"/>
    </xf>
    <xf numFmtId="166" fontId="9" fillId="0" borderId="1" xfId="3" applyFont="1" applyBorder="1" applyAlignment="1">
      <alignment horizontal="left" vertical="top" wrapText="1"/>
    </xf>
    <xf numFmtId="2" fontId="4" fillId="0" borderId="0" xfId="3" applyNumberFormat="1" applyFont="1" applyAlignment="1">
      <alignment vertical="top" wrapText="1"/>
    </xf>
    <xf numFmtId="0" fontId="4" fillId="0" borderId="0" xfId="0" applyFont="1"/>
    <xf numFmtId="0" fontId="10" fillId="0" borderId="0" xfId="0" applyFont="1" applyAlignment="1">
      <alignment vertical="center"/>
    </xf>
    <xf numFmtId="165" fontId="1" fillId="0" borderId="0" xfId="0" applyNumberFormat="1" applyFont="1" applyAlignment="1">
      <alignment vertical="center"/>
    </xf>
    <xf numFmtId="0" fontId="1" fillId="0" borderId="0" xfId="2" applyFont="1" applyAlignment="1">
      <alignment vertical="top" wrapText="1"/>
    </xf>
    <xf numFmtId="0" fontId="1" fillId="0" borderId="8" xfId="2" applyFont="1" applyBorder="1" applyAlignment="1">
      <alignment horizontal="center" vertical="top"/>
    </xf>
    <xf numFmtId="0" fontId="1" fillId="0" borderId="8" xfId="2" applyFont="1" applyBorder="1" applyAlignment="1">
      <alignment horizontal="left" indent="1"/>
    </xf>
    <xf numFmtId="0" fontId="2" fillId="0" borderId="8" xfId="0" applyFont="1" applyBorder="1" applyAlignment="1">
      <alignment horizontal="left" vertical="center" wrapText="1"/>
    </xf>
    <xf numFmtId="0" fontId="1" fillId="0" borderId="0" xfId="0" applyFont="1" applyAlignment="1">
      <alignment horizontal="center" vertical="top"/>
    </xf>
    <xf numFmtId="0" fontId="1" fillId="0" borderId="0" xfId="0" applyFont="1" applyAlignment="1">
      <alignment horizontal="left" vertical="top" wrapText="1"/>
    </xf>
    <xf numFmtId="164" fontId="2" fillId="0" borderId="0" xfId="0" applyNumberFormat="1" applyFont="1" applyAlignment="1">
      <alignment vertical="top"/>
    </xf>
    <xf numFmtId="0" fontId="11" fillId="0" borderId="0" xfId="0" applyFont="1" applyAlignment="1">
      <alignment vertical="center"/>
    </xf>
    <xf numFmtId="0" fontId="2" fillId="0" borderId="1" xfId="0" applyFont="1" applyBorder="1" applyAlignment="1">
      <alignment horizontal="left" vertical="top" wrapText="1" indent="1"/>
    </xf>
    <xf numFmtId="166" fontId="5" fillId="0" borderId="1" xfId="3" applyFont="1" applyBorder="1" applyAlignment="1">
      <alignment horizontal="left" vertical="top" wrapText="1" indent="1"/>
    </xf>
    <xf numFmtId="0" fontId="1" fillId="0" borderId="9" xfId="0" applyFont="1" applyBorder="1" applyAlignment="1">
      <alignment horizontal="right" vertical="center"/>
    </xf>
    <xf numFmtId="0" fontId="1" fillId="0" borderId="1" xfId="0" applyFont="1" applyBorder="1" applyAlignment="1">
      <alignment horizontal="right" vertical="center"/>
    </xf>
    <xf numFmtId="164" fontId="2" fillId="0" borderId="1" xfId="0" applyNumberFormat="1" applyFont="1" applyBorder="1" applyAlignment="1">
      <alignment vertical="top"/>
    </xf>
    <xf numFmtId="0" fontId="2" fillId="0" borderId="1" xfId="0" applyFont="1" applyBorder="1" applyAlignment="1">
      <alignment horizontal="center" vertical="top" wrapText="1"/>
    </xf>
    <xf numFmtId="164" fontId="4" fillId="0" borderId="1" xfId="3" applyNumberFormat="1" applyFont="1" applyBorder="1" applyAlignment="1">
      <alignment horizontal="left" wrapText="1"/>
    </xf>
    <xf numFmtId="0" fontId="1" fillId="0" borderId="4" xfId="0" applyFont="1" applyBorder="1" applyAlignment="1">
      <alignment horizontal="left"/>
    </xf>
    <xf numFmtId="0" fontId="1" fillId="0" borderId="4" xfId="0" applyFont="1" applyBorder="1" applyAlignment="1">
      <alignment horizontal="right"/>
    </xf>
    <xf numFmtId="165" fontId="2" fillId="0" borderId="1" xfId="2" applyNumberFormat="1" applyBorder="1" applyAlignment="1">
      <alignment vertical="top"/>
    </xf>
    <xf numFmtId="0" fontId="2" fillId="0" borderId="1" xfId="2" applyBorder="1" applyAlignment="1">
      <alignment horizontal="center" vertical="top"/>
    </xf>
    <xf numFmtId="0" fontId="2" fillId="0" borderId="1" xfId="2" applyBorder="1" applyAlignment="1">
      <alignment horizontal="left" vertical="top" wrapText="1"/>
    </xf>
    <xf numFmtId="166" fontId="2" fillId="0" borderId="1" xfId="2" applyNumberFormat="1" applyBorder="1" applyAlignment="1">
      <alignment horizontal="left" vertical="top" wrapText="1"/>
    </xf>
    <xf numFmtId="166" fontId="2" fillId="0" borderId="1" xfId="2" applyNumberFormat="1" applyBorder="1" applyAlignment="1">
      <alignment horizontal="center" vertical="top"/>
    </xf>
    <xf numFmtId="3" fontId="2" fillId="0" borderId="1" xfId="2" applyNumberFormat="1" applyBorder="1" applyAlignment="1">
      <alignment horizontal="center" vertical="top"/>
    </xf>
    <xf numFmtId="165" fontId="2" fillId="0" borderId="0" xfId="2" applyNumberFormat="1" applyAlignment="1">
      <alignment vertical="top"/>
    </xf>
    <xf numFmtId="164" fontId="2" fillId="0" borderId="1" xfId="2" applyNumberFormat="1" applyBorder="1" applyAlignment="1">
      <alignment vertical="top"/>
    </xf>
    <xf numFmtId="0" fontId="6" fillId="0" borderId="1" xfId="4" applyBorder="1" applyAlignment="1">
      <alignment horizontal="left" vertical="top" wrapText="1"/>
    </xf>
    <xf numFmtId="0" fontId="2" fillId="0" borderId="1" xfId="0" quotePrefix="1" applyFont="1" applyBorder="1" applyAlignment="1">
      <alignment horizontal="center" vertical="top"/>
    </xf>
    <xf numFmtId="170" fontId="2" fillId="0" borderId="10" xfId="0" applyNumberFormat="1" applyFont="1" applyBorder="1" applyAlignment="1">
      <alignment horizontal="center" vertical="top"/>
    </xf>
    <xf numFmtId="165" fontId="2" fillId="0" borderId="1" xfId="1" applyNumberFormat="1" applyFont="1" applyFill="1" applyBorder="1" applyAlignment="1">
      <alignment horizontal="center" vertical="top"/>
    </xf>
    <xf numFmtId="171" fontId="2" fillId="0" borderId="1" xfId="0" applyNumberFormat="1" applyFont="1" applyBorder="1" applyAlignment="1">
      <alignment horizontal="center" vertical="top"/>
    </xf>
    <xf numFmtId="0" fontId="2" fillId="0" borderId="0" xfId="2" applyAlignment="1">
      <alignment horizontal="left" vertical="top" wrapText="1"/>
    </xf>
    <xf numFmtId="0" fontId="2" fillId="0" borderId="0" xfId="2" applyAlignment="1">
      <alignment horizontal="center" vertical="top"/>
    </xf>
    <xf numFmtId="0" fontId="2" fillId="0" borderId="5" xfId="2" applyBorder="1" applyAlignment="1">
      <alignment horizontal="center" vertical="top"/>
    </xf>
    <xf numFmtId="0" fontId="2" fillId="0" borderId="0" xfId="2" applyAlignment="1">
      <alignment horizontal="right"/>
    </xf>
    <xf numFmtId="0" fontId="2" fillId="0" borderId="0" xfId="2" applyAlignment="1">
      <alignment horizontal="right" vertical="top"/>
    </xf>
    <xf numFmtId="0" fontId="2" fillId="0" borderId="8" xfId="2" applyBorder="1" applyAlignment="1">
      <alignment horizontal="center" vertical="center"/>
    </xf>
    <xf numFmtId="0" fontId="2" fillId="0" borderId="0" xfId="2" applyAlignment="1">
      <alignment horizontal="right" vertical="top" wrapText="1"/>
    </xf>
    <xf numFmtId="0" fontId="2" fillId="0" borderId="9" xfId="6" applyFont="1" applyBorder="1"/>
    <xf numFmtId="0" fontId="2" fillId="0" borderId="1" xfId="6" applyFont="1" applyBorder="1"/>
    <xf numFmtId="164" fontId="2" fillId="0" borderId="1" xfId="6" applyNumberFormat="1" applyFont="1" applyBorder="1"/>
    <xf numFmtId="168" fontId="1" fillId="0" borderId="7" xfId="5" applyNumberFormat="1" applyFont="1" applyBorder="1" applyAlignment="1">
      <alignment horizontal="right" vertical="center"/>
    </xf>
    <xf numFmtId="2" fontId="2" fillId="0" borderId="4" xfId="0" applyNumberFormat="1" applyFont="1" applyBorder="1" applyAlignment="1">
      <alignment horizontal="left"/>
    </xf>
    <xf numFmtId="0" fontId="2" fillId="0" borderId="4" xfId="0" applyFont="1" applyBorder="1" applyAlignment="1">
      <alignment horizontal="left" wrapText="1"/>
    </xf>
    <xf numFmtId="0" fontId="2" fillId="0" borderId="4" xfId="0" applyFont="1" applyBorder="1" applyAlignment="1">
      <alignment horizontal="left"/>
    </xf>
    <xf numFmtId="164" fontId="2" fillId="0" borderId="4" xfId="0" applyNumberFormat="1" applyFont="1" applyBorder="1"/>
    <xf numFmtId="167" fontId="2" fillId="0" borderId="4" xfId="0" applyNumberFormat="1" applyFont="1" applyBorder="1" applyAlignment="1">
      <alignment horizontal="right"/>
    </xf>
    <xf numFmtId="0" fontId="2" fillId="0" borderId="11" xfId="2" applyBorder="1" applyAlignment="1">
      <alignment horizontal="center"/>
    </xf>
    <xf numFmtId="0" fontId="2" fillId="0" borderId="6" xfId="2" applyBorder="1" applyAlignment="1">
      <alignment horizontal="center"/>
    </xf>
    <xf numFmtId="0" fontId="2" fillId="0" borderId="12" xfId="2" applyBorder="1" applyAlignment="1">
      <alignment horizontal="center"/>
    </xf>
    <xf numFmtId="0" fontId="2" fillId="0" borderId="9" xfId="0" quotePrefix="1" applyFont="1" applyBorder="1" applyAlignment="1">
      <alignment horizontal="center" vertical="top"/>
    </xf>
    <xf numFmtId="170" fontId="2" fillId="0" borderId="3" xfId="0" applyNumberFormat="1" applyFont="1" applyBorder="1" applyAlignment="1">
      <alignment horizontal="center" vertical="top"/>
    </xf>
    <xf numFmtId="0" fontId="8" fillId="0" borderId="0" xfId="2" applyFont="1" applyAlignment="1">
      <alignment horizontal="left" vertical="top"/>
    </xf>
    <xf numFmtId="0" fontId="2" fillId="0" borderId="5" xfId="2" applyBorder="1" applyAlignment="1">
      <alignment horizontal="center" vertical="top"/>
    </xf>
    <xf numFmtId="0" fontId="2" fillId="0" borderId="0" xfId="0" applyFont="1" applyAlignment="1">
      <alignment horizontal="left" wrapText="1"/>
    </xf>
    <xf numFmtId="0" fontId="2" fillId="0" borderId="0" xfId="0" applyFont="1" applyAlignment="1">
      <alignment horizontal="right" vertical="center"/>
    </xf>
    <xf numFmtId="0" fontId="1" fillId="0" borderId="0" xfId="0" applyFont="1" applyAlignment="1">
      <alignment vertical="top" wrapText="1"/>
    </xf>
    <xf numFmtId="0" fontId="1" fillId="0" borderId="3" xfId="0" applyFont="1" applyBorder="1" applyAlignment="1">
      <alignment horizontal="right" vertical="center"/>
    </xf>
    <xf numFmtId="0" fontId="2" fillId="0" borderId="9" xfId="0" applyFont="1" applyBorder="1" applyAlignment="1">
      <alignment horizontal="center" vertical="top" wrapText="1"/>
    </xf>
    <xf numFmtId="0" fontId="2" fillId="0" borderId="3" xfId="0" applyFont="1" applyBorder="1" applyAlignment="1">
      <alignment horizontal="center" vertical="top" wrapText="1"/>
    </xf>
    <xf numFmtId="0" fontId="2" fillId="0" borderId="8" xfId="2" applyBorder="1" applyAlignment="1">
      <alignment horizontal="center"/>
    </xf>
    <xf numFmtId="0" fontId="2" fillId="0" borderId="0" xfId="2" applyAlignment="1">
      <alignment horizontal="left" vertical="top" wrapText="1" indent="1"/>
    </xf>
    <xf numFmtId="0" fontId="1" fillId="0" borderId="0" xfId="0" applyFont="1" applyAlignment="1">
      <alignment horizontal="left"/>
    </xf>
    <xf numFmtId="0" fontId="1" fillId="0" borderId="8" xfId="2" applyFont="1" applyBorder="1" applyAlignment="1">
      <alignment horizontal="center"/>
    </xf>
    <xf numFmtId="0" fontId="2" fillId="0" borderId="0" xfId="0" applyFont="1" applyBorder="1"/>
    <xf numFmtId="165" fontId="2" fillId="0" borderId="1" xfId="0" applyNumberFormat="1" applyFont="1" applyBorder="1" applyAlignment="1">
      <alignment horizontal="right"/>
    </xf>
    <xf numFmtId="0" fontId="1" fillId="0" borderId="1" xfId="0" applyFont="1" applyBorder="1" applyAlignment="1">
      <alignment horizontal="center" vertical="top"/>
    </xf>
    <xf numFmtId="0" fontId="2" fillId="0" borderId="0" xfId="0" applyFont="1" applyBorder="1" applyAlignment="1">
      <alignment horizontal="center" vertical="top"/>
    </xf>
    <xf numFmtId="2" fontId="2" fillId="0" borderId="1" xfId="0" quotePrefix="1" applyNumberFormat="1" applyFont="1" applyBorder="1" applyAlignment="1">
      <alignment horizontal="center" vertical="top"/>
    </xf>
    <xf numFmtId="0" fontId="2" fillId="0" borderId="1" xfId="0" applyFont="1" applyBorder="1" applyAlignment="1">
      <alignment horizontal="right" vertical="top"/>
    </xf>
    <xf numFmtId="0" fontId="1" fillId="0" borderId="9" xfId="0" applyFont="1" applyBorder="1" applyAlignment="1">
      <alignment horizontal="right" vertical="center"/>
    </xf>
    <xf numFmtId="0" fontId="1" fillId="0" borderId="0" xfId="0" applyFont="1" applyBorder="1" applyAlignment="1">
      <alignment horizontal="right" vertical="center"/>
    </xf>
    <xf numFmtId="165" fontId="1" fillId="0" borderId="13" xfId="0" applyNumberFormat="1" applyFont="1" applyBorder="1" applyAlignment="1">
      <alignment vertical="center"/>
    </xf>
    <xf numFmtId="0" fontId="1" fillId="0" borderId="1" xfId="0" applyFont="1" applyBorder="1" applyAlignment="1">
      <alignment horizontal="center" vertical="center"/>
    </xf>
    <xf numFmtId="0" fontId="1" fillId="0" borderId="0" xfId="0" applyFont="1" applyBorder="1" applyAlignment="1">
      <alignment horizontal="left" vertical="center"/>
    </xf>
    <xf numFmtId="165" fontId="1" fillId="0" borderId="1" xfId="0" applyNumberFormat="1" applyFont="1" applyBorder="1" applyAlignment="1">
      <alignment vertical="center"/>
    </xf>
    <xf numFmtId="165" fontId="2" fillId="0" borderId="0" xfId="0" applyNumberFormat="1" applyFont="1" applyBorder="1" applyAlignment="1">
      <alignment horizontal="left" vertical="top"/>
    </xf>
    <xf numFmtId="165" fontId="2" fillId="0" borderId="1" xfId="0" applyNumberFormat="1" applyFont="1" applyBorder="1" applyAlignment="1">
      <alignment horizontal="left" vertical="top"/>
    </xf>
    <xf numFmtId="165" fontId="2" fillId="0" borderId="0" xfId="0" applyNumberFormat="1" applyFont="1" applyBorder="1" applyAlignment="1">
      <alignment vertical="top"/>
    </xf>
    <xf numFmtId="0" fontId="1" fillId="0" borderId="9" xfId="0" applyFont="1" applyBorder="1" applyAlignment="1">
      <alignment horizontal="center" vertical="top"/>
    </xf>
    <xf numFmtId="0" fontId="2" fillId="0" borderId="9" xfId="0" applyFont="1" applyBorder="1" applyAlignment="1">
      <alignment horizontal="center" vertical="top"/>
    </xf>
    <xf numFmtId="165" fontId="2" fillId="0" borderId="0" xfId="2" applyNumberFormat="1" applyBorder="1" applyAlignment="1">
      <alignment vertical="top"/>
    </xf>
    <xf numFmtId="0" fontId="2" fillId="0" borderId="0" xfId="0" applyFont="1" applyBorder="1" applyAlignment="1">
      <alignment horizontal="left" wrapText="1"/>
    </xf>
    <xf numFmtId="0" fontId="2" fillId="0" borderId="0" xfId="0" applyFont="1" applyBorder="1" applyAlignment="1">
      <alignment horizontal="left"/>
    </xf>
    <xf numFmtId="164" fontId="2" fillId="0" borderId="0" xfId="0" applyNumberFormat="1" applyFont="1" applyBorder="1"/>
    <xf numFmtId="166" fontId="4" fillId="0" borderId="1" xfId="3" applyFont="1" applyBorder="1" applyAlignment="1">
      <alignment horizontal="center" vertical="top"/>
    </xf>
    <xf numFmtId="166" fontId="5" fillId="0" borderId="1" xfId="3" applyFont="1" applyBorder="1" applyAlignment="1">
      <alignment horizontal="center" vertical="top"/>
    </xf>
    <xf numFmtId="0" fontId="5" fillId="0" borderId="1" xfId="0" applyFont="1" applyBorder="1" applyAlignment="1">
      <alignment horizontal="center" vertical="top"/>
    </xf>
    <xf numFmtId="166" fontId="2" fillId="0" borderId="0" xfId="3" applyFont="1" applyBorder="1" applyAlignment="1">
      <alignment horizontal="center" vertical="top" wrapText="1"/>
    </xf>
    <xf numFmtId="0" fontId="2" fillId="0" borderId="0" xfId="0" applyFont="1" applyBorder="1" applyAlignment="1">
      <alignment vertical="top"/>
    </xf>
    <xf numFmtId="3" fontId="4" fillId="0" borderId="0" xfId="3" applyNumberFormat="1" applyFont="1" applyBorder="1" applyAlignment="1">
      <alignment horizontal="center" vertical="top" wrapText="1"/>
    </xf>
    <xf numFmtId="166" fontId="4" fillId="0" borderId="0" xfId="3" applyFont="1" applyBorder="1" applyAlignment="1">
      <alignment vertical="top" wrapText="1"/>
    </xf>
    <xf numFmtId="166" fontId="4" fillId="0" borderId="0" xfId="3" applyFont="1" applyBorder="1" applyAlignment="1">
      <alignment horizontal="center" vertical="top" wrapText="1"/>
    </xf>
    <xf numFmtId="166" fontId="5" fillId="0" borderId="1" xfId="3" quotePrefix="1" applyFont="1" applyBorder="1" applyAlignment="1">
      <alignment horizontal="center" vertical="top"/>
    </xf>
    <xf numFmtId="166" fontId="4" fillId="0" borderId="1" xfId="3" quotePrefix="1" applyFont="1" applyBorder="1" applyAlignment="1">
      <alignment horizontal="center" vertical="top"/>
    </xf>
    <xf numFmtId="166" fontId="2" fillId="0" borderId="0" xfId="3" applyFont="1" applyBorder="1" applyAlignment="1">
      <alignment vertical="top" wrapText="1"/>
    </xf>
    <xf numFmtId="166" fontId="4" fillId="0" borderId="0" xfId="3" applyFont="1" applyBorder="1" applyAlignment="1">
      <alignment horizontal="left" vertical="top" wrapText="1"/>
    </xf>
    <xf numFmtId="166" fontId="1" fillId="0" borderId="1" xfId="3" quotePrefix="1" applyFont="1" applyBorder="1" applyAlignment="1">
      <alignment horizontal="center" vertical="top"/>
    </xf>
    <xf numFmtId="166" fontId="2" fillId="0" borderId="1" xfId="3" applyFont="1" applyBorder="1" applyAlignment="1">
      <alignment horizontal="center" vertical="top"/>
    </xf>
    <xf numFmtId="166" fontId="2" fillId="0" borderId="0" xfId="3" applyFont="1" applyBorder="1" applyAlignment="1">
      <alignment horizontal="left" vertical="top" wrapText="1"/>
    </xf>
    <xf numFmtId="0" fontId="1" fillId="0" borderId="1" xfId="0" quotePrefix="1" applyFont="1" applyBorder="1" applyAlignment="1">
      <alignment horizontal="center" vertical="top"/>
    </xf>
    <xf numFmtId="0" fontId="2" fillId="0" borderId="3" xfId="0" applyFont="1" applyBorder="1" applyAlignment="1">
      <alignment vertical="top"/>
    </xf>
    <xf numFmtId="166" fontId="2" fillId="0" borderId="0" xfId="2" applyNumberFormat="1" applyBorder="1" applyAlignment="1">
      <alignment horizontal="center" vertical="top"/>
    </xf>
    <xf numFmtId="165" fontId="2" fillId="0" borderId="3" xfId="0" applyNumberFormat="1" applyFont="1" applyBorder="1" applyAlignment="1">
      <alignment vertical="top"/>
    </xf>
    <xf numFmtId="0" fontId="2" fillId="0" borderId="1" xfId="6" applyFont="1" applyBorder="1" applyAlignment="1">
      <alignment horizontal="center"/>
    </xf>
    <xf numFmtId="0" fontId="1" fillId="0" borderId="0" xfId="6" applyFont="1" applyBorder="1" applyAlignment="1">
      <alignment wrapText="1"/>
    </xf>
    <xf numFmtId="164" fontId="2" fillId="0" borderId="3" xfId="6" applyNumberFormat="1" applyFont="1" applyBorder="1"/>
    <xf numFmtId="165" fontId="2" fillId="0" borderId="1" xfId="2" applyNumberFormat="1" applyBorder="1" applyAlignment="1">
      <alignment horizontal="right" vertical="top"/>
    </xf>
    <xf numFmtId="165" fontId="2" fillId="0" borderId="1" xfId="0" applyNumberFormat="1" applyFont="1" applyBorder="1" applyAlignment="1">
      <alignment horizontal="right" vertical="top"/>
    </xf>
    <xf numFmtId="3" fontId="4" fillId="0" borderId="0" xfId="3" applyNumberFormat="1" applyFont="1" applyBorder="1" applyAlignment="1">
      <alignment horizontal="center" wrapText="1"/>
    </xf>
    <xf numFmtId="0" fontId="2" fillId="0" borderId="1" xfId="2" applyBorder="1" applyAlignment="1">
      <alignment horizontal="right" vertical="top"/>
    </xf>
    <xf numFmtId="0" fontId="1" fillId="0" borderId="14" xfId="0" applyFont="1" applyBorder="1" applyAlignment="1">
      <alignment horizontal="right" vertical="center"/>
    </xf>
    <xf numFmtId="0" fontId="1" fillId="0" borderId="2" xfId="0" applyFont="1" applyBorder="1" applyAlignment="1">
      <alignment horizontal="right" vertical="center"/>
    </xf>
    <xf numFmtId="0" fontId="1" fillId="0" borderId="15" xfId="0" applyFont="1" applyBorder="1" applyAlignment="1">
      <alignment horizontal="right" vertical="center"/>
    </xf>
    <xf numFmtId="165" fontId="1" fillId="0" borderId="8" xfId="0" applyNumberFormat="1" applyFont="1" applyBorder="1" applyAlignment="1">
      <alignment vertical="center"/>
    </xf>
    <xf numFmtId="165" fontId="2" fillId="0" borderId="16" xfId="0" applyNumberFormat="1" applyFont="1" applyBorder="1" applyAlignment="1">
      <alignment horizontal="right"/>
    </xf>
    <xf numFmtId="0" fontId="1" fillId="3" borderId="8" xfId="0" applyFont="1" applyFill="1" applyBorder="1" applyAlignment="1">
      <alignment horizontal="center" vertical="center"/>
    </xf>
    <xf numFmtId="0" fontId="1" fillId="0" borderId="8" xfId="0" applyFont="1" applyBorder="1" applyAlignment="1">
      <alignment vertical="center" wrapText="1"/>
    </xf>
    <xf numFmtId="165" fontId="1" fillId="3" borderId="8" xfId="0" applyNumberFormat="1" applyFont="1" applyFill="1" applyBorder="1" applyAlignment="1">
      <alignment horizontal="center" vertical="center"/>
    </xf>
    <xf numFmtId="0" fontId="1" fillId="0" borderId="0" xfId="0" applyFont="1" applyBorder="1" applyAlignment="1">
      <alignment horizontal="right" vertical="center"/>
    </xf>
    <xf numFmtId="0" fontId="4" fillId="0" borderId="11" xfId="0" applyFont="1" applyBorder="1" applyAlignment="1">
      <alignment vertical="center" wrapText="1"/>
    </xf>
    <xf numFmtId="0" fontId="4" fillId="0" borderId="6" xfId="0" applyFont="1" applyBorder="1" applyAlignment="1">
      <alignment vertical="center" wrapText="1"/>
    </xf>
    <xf numFmtId="0" fontId="4" fillId="0" borderId="12" xfId="0" applyFont="1" applyBorder="1" applyAlignment="1">
      <alignment horizontal="right" vertical="center"/>
    </xf>
    <xf numFmtId="165" fontId="4" fillId="0" borderId="8" xfId="0" applyNumberFormat="1" applyFont="1" applyBorder="1" applyAlignment="1">
      <alignment horizontal="right" vertical="center"/>
    </xf>
    <xf numFmtId="0" fontId="1" fillId="0" borderId="4" xfId="0" applyFont="1" applyBorder="1" applyAlignment="1">
      <alignment horizontal="center" vertical="top"/>
    </xf>
    <xf numFmtId="0" fontId="1" fillId="0" borderId="4" xfId="0" applyFont="1" applyBorder="1" applyAlignment="1">
      <alignment horizontal="left" vertical="top" wrapText="1"/>
    </xf>
    <xf numFmtId="164" fontId="2" fillId="0" borderId="4" xfId="0" applyNumberFormat="1" applyFont="1" applyBorder="1" applyAlignment="1">
      <alignment vertical="top"/>
    </xf>
    <xf numFmtId="0" fontId="2" fillId="0" borderId="3" xfId="0" applyFont="1" applyBorder="1"/>
    <xf numFmtId="0" fontId="2" fillId="0" borderId="9" xfId="0" applyFont="1" applyBorder="1"/>
    <xf numFmtId="169" fontId="2" fillId="0" borderId="0" xfId="0" applyNumberFormat="1" applyFont="1" applyBorder="1" applyAlignment="1">
      <alignment horizontal="right"/>
    </xf>
    <xf numFmtId="0" fontId="1" fillId="0" borderId="14" xfId="2" applyFont="1" applyBorder="1" applyAlignment="1">
      <alignment vertical="center" wrapText="1"/>
    </xf>
    <xf numFmtId="0" fontId="1" fillId="0" borderId="2" xfId="2" applyFont="1" applyBorder="1" applyAlignment="1">
      <alignment vertical="center"/>
    </xf>
    <xf numFmtId="0" fontId="1" fillId="0" borderId="15" xfId="2" applyFont="1" applyBorder="1" applyAlignment="1">
      <alignment horizontal="right" vertical="center"/>
    </xf>
    <xf numFmtId="165" fontId="1" fillId="0" borderId="16" xfId="2" applyNumberFormat="1" applyFont="1" applyBorder="1" applyAlignment="1">
      <alignment vertical="center"/>
    </xf>
    <xf numFmtId="0" fontId="4" fillId="0" borderId="17" xfId="0" applyFont="1" applyBorder="1" applyAlignment="1">
      <alignment vertical="center" wrapText="1"/>
    </xf>
    <xf numFmtId="0" fontId="4" fillId="0" borderId="4" xfId="0" applyFont="1" applyBorder="1" applyAlignment="1">
      <alignment vertical="center" wrapText="1"/>
    </xf>
    <xf numFmtId="0" fontId="4" fillId="0" borderId="18" xfId="0" applyFont="1" applyBorder="1" applyAlignment="1">
      <alignment horizontal="right" vertical="center"/>
    </xf>
    <xf numFmtId="165" fontId="4" fillId="0" borderId="19" xfId="0" applyNumberFormat="1" applyFont="1" applyBorder="1" applyAlignment="1">
      <alignment horizontal="right" vertical="center"/>
    </xf>
    <xf numFmtId="0" fontId="2" fillId="0" borderId="2" xfId="0" applyFont="1" applyBorder="1" applyAlignment="1">
      <alignment horizontal="left"/>
    </xf>
    <xf numFmtId="0" fontId="2" fillId="0" borderId="2" xfId="0" applyFont="1" applyBorder="1" applyAlignment="1">
      <alignment horizontal="left" wrapText="1"/>
    </xf>
    <xf numFmtId="164" fontId="2" fillId="0" borderId="2" xfId="0" applyNumberFormat="1" applyFont="1" applyBorder="1"/>
    <xf numFmtId="169" fontId="2" fillId="0" borderId="2" xfId="0" applyNumberFormat="1" applyFont="1" applyBorder="1" applyAlignment="1">
      <alignment horizontal="right"/>
    </xf>
    <xf numFmtId="0" fontId="2" fillId="0" borderId="14" xfId="2" applyBorder="1" applyAlignment="1">
      <alignment vertical="center" wrapText="1"/>
    </xf>
    <xf numFmtId="0" fontId="2" fillId="0" borderId="2" xfId="2" applyBorder="1" applyAlignment="1">
      <alignment vertical="center"/>
    </xf>
    <xf numFmtId="0" fontId="2" fillId="0" borderId="15" xfId="2" applyBorder="1" applyAlignment="1">
      <alignment horizontal="right" vertical="center"/>
    </xf>
    <xf numFmtId="165" fontId="2" fillId="0" borderId="16" xfId="2" applyNumberFormat="1" applyBorder="1" applyAlignment="1">
      <alignment vertical="center"/>
    </xf>
    <xf numFmtId="0" fontId="1" fillId="0" borderId="2" xfId="0" applyFont="1" applyBorder="1" applyAlignment="1">
      <alignment horizontal="right" vertical="center"/>
    </xf>
    <xf numFmtId="165" fontId="1" fillId="0" borderId="2" xfId="0" applyNumberFormat="1" applyFont="1" applyBorder="1" applyAlignment="1">
      <alignment vertical="center"/>
    </xf>
    <xf numFmtId="0" fontId="2" fillId="0" borderId="16" xfId="0" applyFont="1" applyBorder="1" applyAlignment="1">
      <alignment horizontal="left" vertical="top" wrapText="1" indent="1"/>
    </xf>
    <xf numFmtId="0" fontId="2" fillId="0" borderId="16" xfId="2" applyBorder="1" applyAlignment="1">
      <alignment horizontal="center" vertical="top"/>
    </xf>
    <xf numFmtId="166" fontId="2" fillId="0" borderId="16" xfId="2" applyNumberFormat="1" applyBorder="1" applyAlignment="1">
      <alignment horizontal="center" vertical="top"/>
    </xf>
    <xf numFmtId="165" fontId="2" fillId="0" borderId="16" xfId="2" applyNumberFormat="1" applyBorder="1" applyAlignment="1">
      <alignment vertical="top"/>
    </xf>
    <xf numFmtId="0" fontId="2" fillId="0" borderId="9" xfId="2" applyBorder="1" applyAlignment="1">
      <alignment vertical="center" wrapText="1"/>
    </xf>
    <xf numFmtId="165" fontId="2" fillId="0" borderId="1" xfId="2" applyNumberFormat="1" applyBorder="1" applyAlignment="1">
      <alignment vertical="center"/>
    </xf>
    <xf numFmtId="0" fontId="2" fillId="0" borderId="19" xfId="2" applyBorder="1" applyAlignment="1">
      <alignment vertical="center"/>
    </xf>
    <xf numFmtId="0" fontId="2" fillId="0" borderId="19" xfId="2" applyBorder="1" applyAlignment="1">
      <alignment horizontal="right" vertical="center"/>
    </xf>
    <xf numFmtId="165" fontId="1" fillId="0" borderId="0" xfId="0" applyNumberFormat="1" applyFont="1" applyBorder="1" applyAlignment="1">
      <alignment vertical="center"/>
    </xf>
  </cellXfs>
  <cellStyles count="8">
    <cellStyle name="Currency" xfId="5" builtinId="4"/>
    <cellStyle name="Currency 2" xfId="1" xr:uid="{00000000-0005-0000-0000-000000000000}"/>
    <cellStyle name="Normal" xfId="0" builtinId="0"/>
    <cellStyle name="Normal 2" xfId="2" xr:uid="{00000000-0005-0000-0000-000002000000}"/>
    <cellStyle name="Normal 2 6" xfId="6" xr:uid="{30194911-DEC3-45B6-8EA2-12FD5C423C33}"/>
    <cellStyle name="Normal 4" xfId="7" xr:uid="{E642CEA1-4315-490F-829A-2C4368277B84}"/>
    <cellStyle name="Normal_Bill 6 General Electrical P.R" xfId="3" xr:uid="{2863624C-C7FD-4CA8-86B5-BDC1E1943708}"/>
    <cellStyle name="Normal_Sheet1" xfId="4" xr:uid="{4C930EC2-CECA-4310-9F7C-A7695A2CD50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82"/>
  <sheetViews>
    <sheetView tabSelected="1" view="pageLayout" topLeftCell="A122" zoomScaleNormal="90" zoomScaleSheetLayoutView="100" workbookViewId="0">
      <selection activeCell="F41" sqref="F41"/>
    </sheetView>
  </sheetViews>
  <sheetFormatPr defaultColWidth="9.109375" defaultRowHeight="13.2" x14ac:dyDescent="0.25"/>
  <cols>
    <col min="1" max="1" width="2.88671875" style="1" customWidth="1"/>
    <col min="2" max="2" width="7.88671875" style="8" customWidth="1"/>
    <col min="3" max="3" width="48.33203125" style="70" customWidth="1"/>
    <col min="4" max="4" width="5.33203125" style="8" customWidth="1"/>
    <col min="5" max="5" width="5.6640625" style="8" customWidth="1"/>
    <col min="6" max="7" width="15.109375" style="11" customWidth="1"/>
    <col min="8" max="8" width="2.6640625" style="1" customWidth="1"/>
    <col min="9" max="16384" width="9.109375" style="1"/>
  </cols>
  <sheetData>
    <row r="1" spans="2:8" s="17" customFormat="1" ht="30.75" customHeight="1" x14ac:dyDescent="0.25">
      <c r="B1" s="131" t="s">
        <v>252</v>
      </c>
      <c r="C1" s="131"/>
      <c r="D1" s="131"/>
      <c r="E1" s="131"/>
      <c r="F1" s="131"/>
      <c r="G1" s="131"/>
      <c r="H1" s="18"/>
    </row>
    <row r="2" spans="2:8" s="10" customFormat="1" ht="26.25" customHeight="1" x14ac:dyDescent="0.25">
      <c r="B2" s="191" t="s">
        <v>1</v>
      </c>
      <c r="C2" s="192" t="s">
        <v>2</v>
      </c>
      <c r="D2" s="191" t="s">
        <v>3</v>
      </c>
      <c r="E2" s="191" t="s">
        <v>4</v>
      </c>
      <c r="F2" s="193" t="s">
        <v>8</v>
      </c>
      <c r="G2" s="193" t="s">
        <v>9</v>
      </c>
      <c r="H2" s="4"/>
    </row>
    <row r="3" spans="2:8" s="9" customFormat="1" x14ac:dyDescent="0.25">
      <c r="B3" s="12"/>
      <c r="C3" s="53"/>
      <c r="D3" s="12"/>
      <c r="E3" s="12"/>
      <c r="F3" s="13"/>
      <c r="G3" s="190" t="s">
        <v>10</v>
      </c>
      <c r="H3" s="2"/>
    </row>
    <row r="4" spans="2:8" s="9" customFormat="1" x14ac:dyDescent="0.25">
      <c r="B4" s="12"/>
      <c r="C4" s="53"/>
      <c r="D4" s="12"/>
      <c r="E4" s="12"/>
      <c r="F4" s="13"/>
      <c r="G4" s="140"/>
      <c r="H4" s="2"/>
    </row>
    <row r="5" spans="2:8" ht="26.4" x14ac:dyDescent="0.25">
      <c r="B5" s="141">
        <v>1</v>
      </c>
      <c r="C5" s="54" t="s">
        <v>7</v>
      </c>
      <c r="D5" s="5" t="s">
        <v>0</v>
      </c>
      <c r="E5" s="5" t="s">
        <v>0</v>
      </c>
      <c r="F5" s="14" t="s">
        <v>11</v>
      </c>
      <c r="G5" s="14" t="s">
        <v>11</v>
      </c>
      <c r="H5" s="3"/>
    </row>
    <row r="6" spans="2:8" x14ac:dyDescent="0.25">
      <c r="B6" s="141" t="s">
        <v>0</v>
      </c>
      <c r="C6" s="54" t="s">
        <v>0</v>
      </c>
      <c r="D6" s="5" t="s">
        <v>0</v>
      </c>
      <c r="E6" s="5" t="s">
        <v>0</v>
      </c>
      <c r="F6" s="14" t="s">
        <v>11</v>
      </c>
      <c r="G6" s="14" t="s">
        <v>11</v>
      </c>
      <c r="H6" s="3"/>
    </row>
    <row r="7" spans="2:8" ht="39.6" x14ac:dyDescent="0.25">
      <c r="B7" s="5" t="s">
        <v>258</v>
      </c>
      <c r="C7" s="55" t="s">
        <v>29</v>
      </c>
      <c r="D7" s="5" t="s">
        <v>5</v>
      </c>
      <c r="E7" s="5">
        <v>1</v>
      </c>
      <c r="F7" s="14">
        <v>0</v>
      </c>
      <c r="G7" s="14">
        <f>F7*E7</f>
        <v>0</v>
      </c>
      <c r="H7" s="3"/>
    </row>
    <row r="8" spans="2:8" s="6" customFormat="1" x14ac:dyDescent="0.25">
      <c r="B8" s="5"/>
      <c r="C8" s="55"/>
      <c r="D8" s="5"/>
      <c r="E8" s="5"/>
      <c r="F8" s="14"/>
      <c r="G8" s="14"/>
      <c r="H8" s="7"/>
    </row>
    <row r="9" spans="2:8" s="6" customFormat="1" x14ac:dyDescent="0.25">
      <c r="B9" s="5" t="s">
        <v>259</v>
      </c>
      <c r="C9" s="55" t="s">
        <v>30</v>
      </c>
      <c r="D9" s="5" t="s">
        <v>5</v>
      </c>
      <c r="E9" s="5">
        <v>1</v>
      </c>
      <c r="F9" s="14">
        <v>0</v>
      </c>
      <c r="G9" s="14">
        <f>F9*E9</f>
        <v>0</v>
      </c>
      <c r="H9" s="7"/>
    </row>
    <row r="10" spans="2:8" s="6" customFormat="1" x14ac:dyDescent="0.25">
      <c r="B10" s="5"/>
      <c r="C10" s="55"/>
      <c r="D10" s="5"/>
      <c r="E10" s="5"/>
      <c r="F10" s="14"/>
      <c r="G10" s="14"/>
      <c r="H10" s="7"/>
    </row>
    <row r="11" spans="2:8" s="6" customFormat="1" ht="39.6" x14ac:dyDescent="0.25">
      <c r="B11" s="5" t="s">
        <v>260</v>
      </c>
      <c r="C11" s="55" t="s">
        <v>253</v>
      </c>
      <c r="D11" s="5" t="s">
        <v>5</v>
      </c>
      <c r="E11" s="5">
        <v>1</v>
      </c>
      <c r="F11" s="14">
        <v>0</v>
      </c>
      <c r="G11" s="14">
        <f>F11*E11</f>
        <v>0</v>
      </c>
      <c r="H11" s="7"/>
    </row>
    <row r="12" spans="2:8" s="6" customFormat="1" x14ac:dyDescent="0.25">
      <c r="B12" s="5"/>
      <c r="C12" s="55" t="s">
        <v>0</v>
      </c>
      <c r="D12" s="5"/>
      <c r="E12" s="5"/>
      <c r="F12" s="14"/>
      <c r="G12" s="14"/>
      <c r="H12" s="7"/>
    </row>
    <row r="13" spans="2:8" s="6" customFormat="1" ht="39.6" x14ac:dyDescent="0.25">
      <c r="B13" s="5" t="s">
        <v>261</v>
      </c>
      <c r="C13" s="55" t="s">
        <v>31</v>
      </c>
      <c r="D13" s="5" t="s">
        <v>5</v>
      </c>
      <c r="E13" s="5">
        <v>1</v>
      </c>
      <c r="F13" s="14">
        <v>0</v>
      </c>
      <c r="G13" s="14">
        <f>F13*E13</f>
        <v>0</v>
      </c>
      <c r="H13" s="7"/>
    </row>
    <row r="14" spans="2:8" s="6" customFormat="1" x14ac:dyDescent="0.25">
      <c r="B14" s="5"/>
      <c r="C14" s="55"/>
      <c r="D14" s="5"/>
      <c r="E14" s="5"/>
      <c r="F14" s="14"/>
      <c r="G14" s="14"/>
      <c r="H14" s="7"/>
    </row>
    <row r="15" spans="2:8" s="6" customFormat="1" ht="52.8" x14ac:dyDescent="0.25">
      <c r="B15" s="5" t="s">
        <v>262</v>
      </c>
      <c r="C15" s="55" t="s">
        <v>34</v>
      </c>
      <c r="D15" s="5" t="s">
        <v>5</v>
      </c>
      <c r="E15" s="5">
        <v>1</v>
      </c>
      <c r="F15" s="14">
        <v>0</v>
      </c>
      <c r="G15" s="14">
        <f>F15*E15</f>
        <v>0</v>
      </c>
      <c r="H15" s="7"/>
    </row>
    <row r="16" spans="2:8" s="6" customFormat="1" x14ac:dyDescent="0.25">
      <c r="B16" s="5"/>
      <c r="C16" s="55"/>
      <c r="D16" s="5"/>
      <c r="E16" s="5"/>
      <c r="F16" s="14"/>
      <c r="G16" s="14"/>
      <c r="H16" s="7"/>
    </row>
    <row r="17" spans="2:8" s="6" customFormat="1" ht="26.4" x14ac:dyDescent="0.25">
      <c r="B17" s="5" t="s">
        <v>263</v>
      </c>
      <c r="C17" s="55" t="s">
        <v>32</v>
      </c>
      <c r="D17" s="5" t="s">
        <v>5</v>
      </c>
      <c r="E17" s="5">
        <v>1</v>
      </c>
      <c r="F17" s="14">
        <v>0</v>
      </c>
      <c r="G17" s="14">
        <f>F17*E17</f>
        <v>0</v>
      </c>
      <c r="H17" s="7"/>
    </row>
    <row r="18" spans="2:8" s="6" customFormat="1" x14ac:dyDescent="0.25">
      <c r="B18" s="5"/>
      <c r="C18" s="55"/>
      <c r="D18" s="5"/>
      <c r="E18" s="5"/>
      <c r="F18" s="14"/>
      <c r="G18" s="14"/>
      <c r="H18" s="7"/>
    </row>
    <row r="19" spans="2:8" s="6" customFormat="1" ht="26.4" x14ac:dyDescent="0.25">
      <c r="B19" s="5" t="s">
        <v>264</v>
      </c>
      <c r="C19" s="55" t="s">
        <v>33</v>
      </c>
      <c r="D19" s="5" t="s">
        <v>5</v>
      </c>
      <c r="E19" s="5">
        <v>1</v>
      </c>
      <c r="F19" s="14">
        <v>0</v>
      </c>
      <c r="G19" s="14">
        <f>F19*E19</f>
        <v>0</v>
      </c>
      <c r="H19" s="7"/>
    </row>
    <row r="20" spans="2:8" s="6" customFormat="1" x14ac:dyDescent="0.25">
      <c r="B20" s="5"/>
      <c r="C20" s="55"/>
      <c r="D20" s="142"/>
      <c r="E20" s="5"/>
      <c r="F20" s="14"/>
      <c r="G20" s="14"/>
      <c r="H20" s="7"/>
    </row>
    <row r="21" spans="2:8" s="6" customFormat="1" ht="66" x14ac:dyDescent="0.25">
      <c r="B21" s="5" t="s">
        <v>265</v>
      </c>
      <c r="C21" s="55" t="s">
        <v>139</v>
      </c>
      <c r="D21" s="142" t="s">
        <v>5</v>
      </c>
      <c r="E21" s="5">
        <v>1</v>
      </c>
      <c r="F21" s="14">
        <v>0</v>
      </c>
      <c r="G21" s="14">
        <f>F21*E21</f>
        <v>0</v>
      </c>
      <c r="H21" s="7"/>
    </row>
    <row r="22" spans="2:8" s="6" customFormat="1" x14ac:dyDescent="0.25">
      <c r="B22" s="5"/>
      <c r="C22" s="55"/>
      <c r="D22" s="142"/>
      <c r="E22" s="5"/>
      <c r="F22" s="14"/>
      <c r="G22" s="14"/>
      <c r="H22" s="7"/>
    </row>
    <row r="23" spans="2:8" s="6" customFormat="1" ht="26.4" x14ac:dyDescent="0.25">
      <c r="B23" s="5" t="s">
        <v>266</v>
      </c>
      <c r="C23" s="55" t="s">
        <v>131</v>
      </c>
      <c r="D23" s="142" t="s">
        <v>5</v>
      </c>
      <c r="E23" s="5">
        <v>1</v>
      </c>
      <c r="F23" s="14">
        <v>0</v>
      </c>
      <c r="G23" s="14">
        <f>F23*E23</f>
        <v>0</v>
      </c>
      <c r="H23" s="7"/>
    </row>
    <row r="24" spans="2:8" s="6" customFormat="1" x14ac:dyDescent="0.25">
      <c r="B24" s="5"/>
      <c r="C24" s="55"/>
      <c r="D24" s="142"/>
      <c r="E24" s="5"/>
      <c r="F24" s="14"/>
      <c r="G24" s="14"/>
      <c r="H24" s="7"/>
    </row>
    <row r="25" spans="2:8" s="6" customFormat="1" ht="66" x14ac:dyDescent="0.25">
      <c r="B25" s="143" t="s">
        <v>267</v>
      </c>
      <c r="C25" s="55" t="s">
        <v>128</v>
      </c>
      <c r="D25" s="5" t="s">
        <v>5</v>
      </c>
      <c r="E25" s="5">
        <v>1</v>
      </c>
      <c r="F25" s="14">
        <v>0</v>
      </c>
      <c r="G25" s="14">
        <f>F25*E25</f>
        <v>0</v>
      </c>
      <c r="H25" s="7"/>
    </row>
    <row r="26" spans="2:8" s="6" customFormat="1" x14ac:dyDescent="0.25">
      <c r="B26" s="5"/>
      <c r="C26" s="55"/>
      <c r="D26" s="5"/>
      <c r="E26" s="5"/>
      <c r="F26" s="14"/>
      <c r="G26" s="14"/>
      <c r="H26" s="7"/>
    </row>
    <row r="27" spans="2:8" s="6" customFormat="1" x14ac:dyDescent="0.25">
      <c r="B27" s="5"/>
      <c r="C27" s="55"/>
      <c r="D27" s="5"/>
      <c r="E27" s="5"/>
      <c r="F27" s="14"/>
      <c r="G27" s="14"/>
      <c r="H27" s="7"/>
    </row>
    <row r="28" spans="2:8" s="6" customFormat="1" x14ac:dyDescent="0.25">
      <c r="B28" s="5"/>
      <c r="C28" s="55"/>
      <c r="D28" s="5"/>
      <c r="E28" s="5"/>
      <c r="F28" s="14"/>
      <c r="G28" s="14"/>
      <c r="H28" s="7"/>
    </row>
    <row r="29" spans="2:8" s="6" customFormat="1" x14ac:dyDescent="0.25">
      <c r="B29" s="5"/>
      <c r="C29" s="55"/>
      <c r="D29" s="5"/>
      <c r="E29" s="5"/>
      <c r="F29" s="14"/>
      <c r="G29" s="14"/>
      <c r="H29" s="7"/>
    </row>
    <row r="30" spans="2:8" s="6" customFormat="1" x14ac:dyDescent="0.25">
      <c r="B30" s="5"/>
      <c r="C30" s="55"/>
      <c r="D30" s="5"/>
      <c r="E30" s="5"/>
      <c r="F30" s="14"/>
      <c r="G30" s="14"/>
      <c r="H30" s="7"/>
    </row>
    <row r="31" spans="2:8" s="6" customFormat="1" x14ac:dyDescent="0.25">
      <c r="B31" s="5"/>
      <c r="C31" s="55"/>
      <c r="D31" s="5"/>
      <c r="E31" s="5"/>
      <c r="F31" s="14"/>
      <c r="G31" s="14"/>
      <c r="H31" s="7"/>
    </row>
    <row r="32" spans="2:8" s="6" customFormat="1" x14ac:dyDescent="0.25">
      <c r="B32" s="5"/>
      <c r="C32" s="55"/>
      <c r="D32" s="5"/>
      <c r="E32" s="5"/>
      <c r="F32" s="14"/>
      <c r="G32" s="14"/>
      <c r="H32" s="7"/>
    </row>
    <row r="33" spans="2:8" s="6" customFormat="1" x14ac:dyDescent="0.25">
      <c r="B33" s="5"/>
      <c r="C33" s="55"/>
      <c r="D33" s="5"/>
      <c r="E33" s="5"/>
      <c r="F33" s="14"/>
      <c r="G33" s="14"/>
      <c r="H33" s="7"/>
    </row>
    <row r="34" spans="2:8" s="6" customFormat="1" x14ac:dyDescent="0.25">
      <c r="B34" s="144" t="s">
        <v>0</v>
      </c>
      <c r="C34" s="56" t="s">
        <v>0</v>
      </c>
      <c r="D34" s="5" t="s">
        <v>0</v>
      </c>
      <c r="E34" s="5" t="s">
        <v>0</v>
      </c>
      <c r="F34" s="14"/>
      <c r="G34" s="14"/>
      <c r="H34" s="7"/>
    </row>
    <row r="35" spans="2:8" s="6" customFormat="1" ht="27.6" customHeight="1" thickBot="1" x14ac:dyDescent="0.3">
      <c r="B35" s="145" t="s">
        <v>167</v>
      </c>
      <c r="C35" s="146"/>
      <c r="D35" s="146"/>
      <c r="E35" s="146"/>
      <c r="F35" s="132"/>
      <c r="G35" s="147">
        <f>SUM(G7:G34)</f>
        <v>0</v>
      </c>
      <c r="H35" s="7"/>
    </row>
    <row r="36" spans="2:8" s="6" customFormat="1" ht="27.6" customHeight="1" thickTop="1" x14ac:dyDescent="0.25">
      <c r="B36" s="194"/>
      <c r="C36" s="194"/>
      <c r="D36" s="194"/>
      <c r="E36" s="194"/>
      <c r="F36" s="194"/>
      <c r="G36" s="231"/>
      <c r="H36" s="7"/>
    </row>
    <row r="37" spans="2:8" s="9" customFormat="1" x14ac:dyDescent="0.25">
      <c r="B37" s="221"/>
      <c r="C37" s="221"/>
      <c r="D37" s="221"/>
      <c r="E37" s="221"/>
      <c r="F37" s="221"/>
      <c r="G37" s="222"/>
      <c r="H37" s="16"/>
    </row>
    <row r="38" spans="2:8" s="9" customFormat="1" x14ac:dyDescent="0.25">
      <c r="B38" s="191" t="s">
        <v>1</v>
      </c>
      <c r="C38" s="192" t="s">
        <v>2</v>
      </c>
      <c r="D38" s="191" t="s">
        <v>3</v>
      </c>
      <c r="E38" s="191" t="s">
        <v>4</v>
      </c>
      <c r="F38" s="193" t="s">
        <v>8</v>
      </c>
      <c r="G38" s="193" t="s">
        <v>9</v>
      </c>
      <c r="H38" s="16"/>
    </row>
    <row r="39" spans="2:8" s="10" customFormat="1" x14ac:dyDescent="0.25">
      <c r="B39" s="12"/>
      <c r="C39" s="53"/>
      <c r="D39" s="12"/>
      <c r="E39" s="12"/>
      <c r="F39" s="13"/>
      <c r="G39" s="190" t="s">
        <v>10</v>
      </c>
      <c r="H39" s="4"/>
    </row>
    <row r="40" spans="2:8" s="9" customFormat="1" ht="18.600000000000001" customHeight="1" x14ac:dyDescent="0.25">
      <c r="B40" s="148">
        <v>2</v>
      </c>
      <c r="C40" s="149" t="s">
        <v>142</v>
      </c>
      <c r="D40" s="86"/>
      <c r="E40" s="87"/>
      <c r="F40" s="21"/>
      <c r="G40" s="150"/>
      <c r="H40" s="2"/>
    </row>
    <row r="41" spans="2:8" s="9" customFormat="1" ht="7.2" customHeight="1" x14ac:dyDescent="0.25">
      <c r="B41" s="141"/>
      <c r="C41" s="149"/>
      <c r="D41" s="86"/>
      <c r="E41" s="87"/>
      <c r="F41" s="21"/>
      <c r="G41" s="150"/>
      <c r="H41" s="16"/>
    </row>
    <row r="42" spans="2:8" s="9" customFormat="1" x14ac:dyDescent="0.25">
      <c r="B42" s="141" t="s">
        <v>268</v>
      </c>
      <c r="C42" s="57" t="s">
        <v>37</v>
      </c>
      <c r="D42" s="142"/>
      <c r="E42" s="5"/>
      <c r="F42" s="151"/>
      <c r="G42" s="152"/>
      <c r="H42" s="16"/>
    </row>
    <row r="43" spans="2:8" s="6" customFormat="1" ht="26.4" x14ac:dyDescent="0.25">
      <c r="B43" s="5"/>
      <c r="C43" s="55" t="s">
        <v>129</v>
      </c>
      <c r="D43" s="142"/>
      <c r="E43" s="5"/>
      <c r="F43" s="151"/>
      <c r="G43" s="152"/>
      <c r="H43" s="7"/>
    </row>
    <row r="44" spans="2:8" s="6" customFormat="1" ht="8.4" customHeight="1" x14ac:dyDescent="0.25">
      <c r="B44" s="5"/>
      <c r="C44" s="55"/>
      <c r="D44" s="142"/>
      <c r="E44" s="5"/>
      <c r="F44" s="151"/>
      <c r="G44" s="152"/>
      <c r="H44" s="7"/>
    </row>
    <row r="45" spans="2:8" s="6" customFormat="1" x14ac:dyDescent="0.25">
      <c r="B45" s="144"/>
      <c r="C45" s="58" t="s">
        <v>35</v>
      </c>
      <c r="D45" s="142"/>
      <c r="E45" s="5"/>
      <c r="F45" s="151"/>
      <c r="G45" s="152"/>
      <c r="H45" s="7"/>
    </row>
    <row r="46" spans="2:8" s="6" customFormat="1" ht="39.6" x14ac:dyDescent="0.25">
      <c r="B46" s="5" t="s">
        <v>16</v>
      </c>
      <c r="C46" s="55" t="s">
        <v>254</v>
      </c>
      <c r="D46" s="142" t="s">
        <v>15</v>
      </c>
      <c r="E46" s="5">
        <v>90</v>
      </c>
      <c r="F46" s="14">
        <v>0</v>
      </c>
      <c r="G46" s="14">
        <f>F46*E46</f>
        <v>0</v>
      </c>
      <c r="H46" s="7"/>
    </row>
    <row r="47" spans="2:8" s="6" customFormat="1" x14ac:dyDescent="0.25">
      <c r="B47" s="5"/>
      <c r="C47" s="55"/>
      <c r="D47" s="142"/>
      <c r="E47" s="5"/>
      <c r="F47" s="14"/>
      <c r="G47" s="14"/>
      <c r="H47" s="7"/>
    </row>
    <row r="48" spans="2:8" s="6" customFormat="1" ht="39.6" x14ac:dyDescent="0.25">
      <c r="B48" s="5" t="s">
        <v>17</v>
      </c>
      <c r="C48" s="55" t="s">
        <v>255</v>
      </c>
      <c r="D48" s="142" t="s">
        <v>15</v>
      </c>
      <c r="E48" s="5">
        <v>15</v>
      </c>
      <c r="F48" s="14">
        <v>0</v>
      </c>
      <c r="G48" s="14">
        <f>F48*E48</f>
        <v>0</v>
      </c>
      <c r="H48" s="7"/>
    </row>
    <row r="49" spans="2:8" s="6" customFormat="1" x14ac:dyDescent="0.25">
      <c r="B49" s="5"/>
      <c r="C49" s="55"/>
      <c r="D49" s="142"/>
      <c r="E49" s="5"/>
      <c r="F49" s="14"/>
      <c r="G49" s="14"/>
      <c r="H49" s="7"/>
    </row>
    <row r="50" spans="2:8" s="6" customFormat="1" ht="15.75" customHeight="1" x14ac:dyDescent="0.25">
      <c r="B50" s="5" t="s">
        <v>140</v>
      </c>
      <c r="C50" s="55" t="s">
        <v>219</v>
      </c>
      <c r="D50" s="142" t="s">
        <v>15</v>
      </c>
      <c r="E50" s="5">
        <v>55</v>
      </c>
      <c r="F50" s="14">
        <v>0</v>
      </c>
      <c r="G50" s="14">
        <f>F50*E50</f>
        <v>0</v>
      </c>
      <c r="H50" s="7"/>
    </row>
    <row r="51" spans="2:8" s="6" customFormat="1" x14ac:dyDescent="0.25">
      <c r="B51" s="144"/>
      <c r="C51" s="58"/>
      <c r="D51" s="142"/>
      <c r="E51" s="5"/>
      <c r="F51" s="151"/>
      <c r="G51" s="152"/>
      <c r="H51" s="7"/>
    </row>
    <row r="52" spans="2:8" s="6" customFormat="1" x14ac:dyDescent="0.25">
      <c r="B52" s="5" t="s">
        <v>141</v>
      </c>
      <c r="C52" s="55" t="s">
        <v>126</v>
      </c>
      <c r="D52" s="142" t="s">
        <v>15</v>
      </c>
      <c r="E52" s="5">
        <v>25</v>
      </c>
      <c r="F52" s="14">
        <v>0</v>
      </c>
      <c r="G52" s="14">
        <f>F52*E52</f>
        <v>0</v>
      </c>
      <c r="H52" s="7"/>
    </row>
    <row r="53" spans="2:8" s="6" customFormat="1" x14ac:dyDescent="0.25">
      <c r="B53" s="5"/>
      <c r="C53" s="55"/>
      <c r="D53" s="142"/>
      <c r="E53" s="5"/>
      <c r="F53" s="14"/>
      <c r="G53" s="14"/>
      <c r="H53" s="7"/>
    </row>
    <row r="54" spans="2:8" s="6" customFormat="1" ht="26.4" x14ac:dyDescent="0.25">
      <c r="B54" s="5" t="s">
        <v>217</v>
      </c>
      <c r="C54" s="55" t="s">
        <v>226</v>
      </c>
      <c r="D54" s="142" t="s">
        <v>15</v>
      </c>
      <c r="E54" s="5">
        <v>20</v>
      </c>
      <c r="F54" s="14">
        <v>0</v>
      </c>
      <c r="G54" s="14">
        <f>F54*E54</f>
        <v>0</v>
      </c>
      <c r="H54" s="7"/>
    </row>
    <row r="55" spans="2:8" s="6" customFormat="1" x14ac:dyDescent="0.25">
      <c r="B55" s="5"/>
      <c r="C55" s="55"/>
      <c r="D55" s="142"/>
      <c r="E55" s="5"/>
      <c r="F55" s="14"/>
      <c r="G55" s="14"/>
      <c r="H55" s="7"/>
    </row>
    <row r="56" spans="2:8" s="6" customFormat="1" x14ac:dyDescent="0.25">
      <c r="B56" s="144"/>
      <c r="C56" s="58" t="s">
        <v>38</v>
      </c>
      <c r="D56" s="5"/>
      <c r="E56" s="5"/>
      <c r="F56" s="14"/>
      <c r="G56" s="14"/>
      <c r="H56" s="7"/>
    </row>
    <row r="57" spans="2:8" s="6" customFormat="1" ht="39.6" x14ac:dyDescent="0.25">
      <c r="B57" s="5" t="s">
        <v>218</v>
      </c>
      <c r="C57" s="55" t="str">
        <f>C46</f>
        <v>Cable 600/1000V, PVC/PVC/SWA/ECC/PVC, 
copper cable as specified,
35mm² x 4-Core + ECC. (For Main Supply)</v>
      </c>
      <c r="D57" s="142" t="s">
        <v>15</v>
      </c>
      <c r="E57" s="5">
        <f>E46</f>
        <v>90</v>
      </c>
      <c r="F57" s="14">
        <v>0</v>
      </c>
      <c r="G57" s="14">
        <f>F57*E57</f>
        <v>0</v>
      </c>
      <c r="H57" s="7"/>
    </row>
    <row r="58" spans="2:8" s="6" customFormat="1" x14ac:dyDescent="0.25">
      <c r="B58" s="144"/>
      <c r="C58" s="59"/>
      <c r="D58" s="142"/>
      <c r="E58" s="5"/>
      <c r="F58" s="14"/>
      <c r="G58" s="14"/>
      <c r="H58" s="7"/>
    </row>
    <row r="59" spans="2:8" s="6" customFormat="1" ht="39.6" x14ac:dyDescent="0.25">
      <c r="B59" s="5" t="s">
        <v>220</v>
      </c>
      <c r="C59" s="55" t="s">
        <v>255</v>
      </c>
      <c r="D59" s="142" t="s">
        <v>15</v>
      </c>
      <c r="E59" s="5">
        <f>E48</f>
        <v>15</v>
      </c>
      <c r="F59" s="14">
        <v>0</v>
      </c>
      <c r="G59" s="14">
        <f>F59*E59</f>
        <v>0</v>
      </c>
      <c r="H59" s="7"/>
    </row>
    <row r="60" spans="2:8" s="6" customFormat="1" x14ac:dyDescent="0.25">
      <c r="B60" s="5"/>
      <c r="C60" s="55"/>
      <c r="D60" s="142"/>
      <c r="E60" s="5"/>
      <c r="F60" s="14"/>
      <c r="G60" s="14"/>
      <c r="H60" s="7"/>
    </row>
    <row r="61" spans="2:8" s="6" customFormat="1" x14ac:dyDescent="0.25">
      <c r="B61" s="5" t="s">
        <v>221</v>
      </c>
      <c r="C61" s="55" t="s">
        <v>219</v>
      </c>
      <c r="D61" s="142" t="s">
        <v>15</v>
      </c>
      <c r="E61" s="5">
        <f>E50</f>
        <v>55</v>
      </c>
      <c r="F61" s="14">
        <v>0</v>
      </c>
      <c r="G61" s="14">
        <f>F61*E61</f>
        <v>0</v>
      </c>
      <c r="H61" s="7"/>
    </row>
    <row r="62" spans="2:8" s="6" customFormat="1" x14ac:dyDescent="0.25">
      <c r="B62" s="5"/>
      <c r="C62" s="55"/>
      <c r="D62" s="142"/>
      <c r="E62" s="5"/>
      <c r="F62" s="14"/>
      <c r="G62" s="14"/>
      <c r="H62" s="7"/>
    </row>
    <row r="63" spans="2:8" s="6" customFormat="1" x14ac:dyDescent="0.25">
      <c r="B63" s="5" t="s">
        <v>256</v>
      </c>
      <c r="C63" s="59" t="str">
        <f>C52</f>
        <v>4mm², Surfix 2-core &amp; Earth (For Mech. Equipment)</v>
      </c>
      <c r="D63" s="142" t="s">
        <v>15</v>
      </c>
      <c r="E63" s="5">
        <f>E52</f>
        <v>25</v>
      </c>
      <c r="F63" s="14">
        <v>0</v>
      </c>
      <c r="G63" s="14">
        <f>F63*E63</f>
        <v>0</v>
      </c>
      <c r="H63" s="7"/>
    </row>
    <row r="64" spans="2:8" s="6" customFormat="1" x14ac:dyDescent="0.25">
      <c r="B64" s="5"/>
      <c r="C64" s="59"/>
      <c r="D64" s="142"/>
      <c r="E64" s="5"/>
      <c r="F64" s="153"/>
      <c r="G64" s="14"/>
      <c r="H64" s="7"/>
    </row>
    <row r="65" spans="2:8" s="6" customFormat="1" x14ac:dyDescent="0.25">
      <c r="B65" s="5" t="s">
        <v>257</v>
      </c>
      <c r="C65" s="55" t="s">
        <v>216</v>
      </c>
      <c r="D65" s="142" t="s">
        <v>15</v>
      </c>
      <c r="E65" s="5">
        <f>E54</f>
        <v>20</v>
      </c>
      <c r="F65" s="14">
        <v>0</v>
      </c>
      <c r="G65" s="14">
        <f>F65*E65</f>
        <v>0</v>
      </c>
      <c r="H65" s="7"/>
    </row>
    <row r="66" spans="2:8" s="6" customFormat="1" x14ac:dyDescent="0.25">
      <c r="B66" s="5"/>
      <c r="C66" s="55"/>
      <c r="D66" s="142"/>
      <c r="E66" s="5"/>
      <c r="F66" s="153"/>
      <c r="G66" s="14"/>
      <c r="H66" s="7"/>
    </row>
    <row r="67" spans="2:8" x14ac:dyDescent="0.25">
      <c r="B67" s="154" t="s">
        <v>269</v>
      </c>
      <c r="C67" s="57" t="s">
        <v>222</v>
      </c>
      <c r="D67" s="142"/>
      <c r="E67" s="5"/>
      <c r="F67" s="151"/>
      <c r="G67" s="152"/>
    </row>
    <row r="68" spans="2:8" ht="39.6" x14ac:dyDescent="0.25">
      <c r="B68" s="155"/>
      <c r="C68" s="55" t="s">
        <v>223</v>
      </c>
      <c r="D68" s="142"/>
      <c r="E68" s="5"/>
      <c r="F68" s="151"/>
      <c r="G68" s="152"/>
    </row>
    <row r="69" spans="2:8" x14ac:dyDescent="0.25">
      <c r="B69" s="155"/>
      <c r="C69" s="55"/>
      <c r="D69" s="142"/>
      <c r="E69" s="5"/>
      <c r="F69" s="151"/>
      <c r="G69" s="152"/>
    </row>
    <row r="70" spans="2:8" x14ac:dyDescent="0.25">
      <c r="B70" s="155"/>
      <c r="C70" s="57" t="s">
        <v>35</v>
      </c>
      <c r="D70" s="142"/>
      <c r="E70" s="5"/>
      <c r="F70" s="151"/>
      <c r="G70" s="152"/>
    </row>
    <row r="71" spans="2:8" x14ac:dyDescent="0.25">
      <c r="B71" s="155" t="s">
        <v>224</v>
      </c>
      <c r="C71" s="55" t="s">
        <v>270</v>
      </c>
      <c r="D71" s="142" t="s">
        <v>6</v>
      </c>
      <c r="E71" s="5">
        <v>2</v>
      </c>
      <c r="F71" s="93">
        <v>0</v>
      </c>
      <c r="G71" s="14">
        <f>F71*E71</f>
        <v>0</v>
      </c>
    </row>
    <row r="72" spans="2:8" x14ac:dyDescent="0.25">
      <c r="B72" s="155"/>
      <c r="C72" s="55"/>
      <c r="D72" s="142"/>
      <c r="E72" s="5"/>
      <c r="F72" s="151"/>
      <c r="G72" s="152"/>
    </row>
    <row r="73" spans="2:8" x14ac:dyDescent="0.25">
      <c r="B73" s="155" t="s">
        <v>225</v>
      </c>
      <c r="C73" s="55" t="s">
        <v>271</v>
      </c>
      <c r="D73" s="142" t="s">
        <v>6</v>
      </c>
      <c r="E73" s="5">
        <v>2</v>
      </c>
      <c r="F73" s="93">
        <v>0</v>
      </c>
      <c r="G73" s="14">
        <f>F73*E73</f>
        <v>0</v>
      </c>
    </row>
    <row r="74" spans="2:8" x14ac:dyDescent="0.25">
      <c r="B74" s="155"/>
      <c r="C74" s="55"/>
      <c r="D74" s="142"/>
      <c r="E74" s="5"/>
      <c r="F74" s="156"/>
      <c r="G74" s="14"/>
    </row>
    <row r="75" spans="2:8" x14ac:dyDescent="0.25">
      <c r="B75" s="155"/>
      <c r="C75" s="57" t="s">
        <v>38</v>
      </c>
      <c r="D75" s="142"/>
      <c r="E75" s="5"/>
      <c r="F75" s="151"/>
      <c r="G75" s="152"/>
    </row>
    <row r="76" spans="2:8" x14ac:dyDescent="0.25">
      <c r="B76" s="155" t="s">
        <v>272</v>
      </c>
      <c r="C76" s="55" t="str">
        <f>C71</f>
        <v>35mm² x 4-Core + ECC. (For Main Supply)</v>
      </c>
      <c r="D76" s="142" t="s">
        <v>6</v>
      </c>
      <c r="E76" s="5">
        <f>E71</f>
        <v>2</v>
      </c>
      <c r="F76" s="93">
        <v>0</v>
      </c>
      <c r="G76" s="14">
        <f t="shared" ref="G76" si="0">F76*E76</f>
        <v>0</v>
      </c>
    </row>
    <row r="77" spans="2:8" x14ac:dyDescent="0.25">
      <c r="B77" s="155"/>
      <c r="C77" s="57"/>
      <c r="D77" s="142"/>
      <c r="E77" s="5"/>
      <c r="F77" s="151"/>
      <c r="G77" s="152"/>
    </row>
    <row r="78" spans="2:8" x14ac:dyDescent="0.25">
      <c r="B78" s="155" t="s">
        <v>273</v>
      </c>
      <c r="C78" s="55" t="s">
        <v>271</v>
      </c>
      <c r="D78" s="142" t="s">
        <v>6</v>
      </c>
      <c r="E78" s="5">
        <v>2</v>
      </c>
      <c r="F78" s="93">
        <v>0</v>
      </c>
      <c r="G78" s="14">
        <f>F78*E78</f>
        <v>0</v>
      </c>
    </row>
    <row r="79" spans="2:8" x14ac:dyDescent="0.25">
      <c r="B79" s="155"/>
      <c r="C79" s="55"/>
      <c r="D79" s="142"/>
      <c r="E79" s="5"/>
      <c r="F79" s="156"/>
      <c r="G79" s="14"/>
    </row>
    <row r="80" spans="2:8" x14ac:dyDescent="0.25">
      <c r="B80" s="155"/>
      <c r="C80" s="55"/>
      <c r="D80" s="142"/>
      <c r="E80" s="5"/>
      <c r="F80" s="156"/>
      <c r="G80" s="14"/>
    </row>
    <row r="81" spans="1:8" s="6" customFormat="1" x14ac:dyDescent="0.25">
      <c r="B81" s="5"/>
      <c r="C81" s="55"/>
      <c r="D81" s="142"/>
      <c r="E81" s="5"/>
      <c r="F81" s="151"/>
      <c r="G81" s="152"/>
      <c r="H81" s="7"/>
    </row>
    <row r="82" spans="1:8" s="6" customFormat="1" x14ac:dyDescent="0.25">
      <c r="B82" s="195"/>
      <c r="C82" s="196"/>
      <c r="D82" s="196"/>
      <c r="E82" s="196"/>
      <c r="F82" s="197" t="s">
        <v>170</v>
      </c>
      <c r="G82" s="198">
        <f>SUM(G40:G81)</f>
        <v>0</v>
      </c>
      <c r="H82" s="7"/>
    </row>
    <row r="83" spans="1:8" ht="20.100000000000001" customHeight="1" x14ac:dyDescent="0.25">
      <c r="A83" s="73"/>
      <c r="B83" s="199"/>
      <c r="C83" s="200"/>
      <c r="D83" s="42"/>
      <c r="E83" s="42"/>
      <c r="F83" s="201"/>
      <c r="G83" s="43"/>
      <c r="H83" s="73"/>
    </row>
    <row r="84" spans="1:8" x14ac:dyDescent="0.25">
      <c r="A84" s="139"/>
      <c r="B84" s="158"/>
      <c r="C84" s="157"/>
      <c r="D84" s="158"/>
      <c r="E84" s="139"/>
      <c r="F84" s="159"/>
      <c r="G84" s="204"/>
      <c r="H84" s="139"/>
    </row>
    <row r="85" spans="1:8" x14ac:dyDescent="0.25">
      <c r="A85" s="202"/>
      <c r="B85" s="191" t="s">
        <v>1</v>
      </c>
      <c r="C85" s="192" t="s">
        <v>2</v>
      </c>
      <c r="D85" s="191" t="s">
        <v>3</v>
      </c>
      <c r="E85" s="191" t="s">
        <v>4</v>
      </c>
      <c r="F85" s="193" t="s">
        <v>8</v>
      </c>
      <c r="G85" s="193" t="s">
        <v>9</v>
      </c>
      <c r="H85" s="203"/>
    </row>
    <row r="86" spans="1:8" s="10" customFormat="1" ht="26.25" customHeight="1" x14ac:dyDescent="0.25">
      <c r="B86" s="205"/>
      <c r="C86" s="206"/>
      <c r="D86" s="206"/>
      <c r="E86" s="206"/>
      <c r="F86" s="207" t="s">
        <v>171</v>
      </c>
      <c r="G86" s="208">
        <f>G82</f>
        <v>0</v>
      </c>
      <c r="H86" s="4"/>
    </row>
    <row r="87" spans="1:8" s="83" customFormat="1" x14ac:dyDescent="0.25">
      <c r="A87" s="10"/>
      <c r="B87" s="160"/>
      <c r="C87" s="71"/>
      <c r="D87" s="26"/>
      <c r="E87" s="27"/>
      <c r="F87" s="29"/>
      <c r="G87" s="28"/>
      <c r="H87" s="10"/>
    </row>
    <row r="88" spans="1:8" s="6" customFormat="1" x14ac:dyDescent="0.25">
      <c r="B88" s="141" t="s">
        <v>274</v>
      </c>
      <c r="C88" s="57" t="s">
        <v>148</v>
      </c>
      <c r="D88" s="142"/>
      <c r="E88" s="5"/>
      <c r="F88" s="151"/>
      <c r="G88" s="152"/>
      <c r="H88" s="7"/>
    </row>
    <row r="89" spans="1:8" s="6" customFormat="1" ht="66" x14ac:dyDescent="0.25">
      <c r="B89" s="5"/>
      <c r="C89" s="55" t="s">
        <v>276</v>
      </c>
      <c r="D89" s="142"/>
      <c r="E89" s="5"/>
      <c r="F89" s="151"/>
      <c r="G89" s="152"/>
      <c r="H89" s="7"/>
    </row>
    <row r="90" spans="1:8" s="6" customFormat="1" x14ac:dyDescent="0.25">
      <c r="B90" s="5"/>
      <c r="C90" s="55"/>
      <c r="D90" s="142"/>
      <c r="E90" s="5"/>
      <c r="F90" s="151"/>
      <c r="G90" s="152"/>
      <c r="H90" s="7"/>
    </row>
    <row r="91" spans="1:8" s="6" customFormat="1" x14ac:dyDescent="0.25">
      <c r="B91" s="5"/>
      <c r="C91" s="58" t="s">
        <v>35</v>
      </c>
      <c r="D91" s="142"/>
      <c r="E91" s="5"/>
      <c r="F91" s="151"/>
      <c r="G91" s="152"/>
      <c r="H91" s="7"/>
    </row>
    <row r="92" spans="1:8" s="6" customFormat="1" x14ac:dyDescent="0.25">
      <c r="B92" s="5" t="s">
        <v>18</v>
      </c>
      <c r="C92" s="55" t="s">
        <v>275</v>
      </c>
      <c r="D92" s="142" t="s">
        <v>6</v>
      </c>
      <c r="E92" s="5">
        <v>1</v>
      </c>
      <c r="F92" s="14">
        <v>0</v>
      </c>
      <c r="G92" s="14">
        <f>F92*E92</f>
        <v>0</v>
      </c>
      <c r="H92" s="7"/>
    </row>
    <row r="93" spans="1:8" s="6" customFormat="1" x14ac:dyDescent="0.25">
      <c r="B93" s="5"/>
      <c r="C93" s="55"/>
      <c r="D93" s="142"/>
      <c r="E93" s="5"/>
      <c r="F93" s="14"/>
      <c r="G93" s="14"/>
      <c r="H93" s="7"/>
    </row>
    <row r="94" spans="1:8" s="6" customFormat="1" x14ac:dyDescent="0.25">
      <c r="B94" s="5"/>
      <c r="C94" s="58" t="s">
        <v>38</v>
      </c>
      <c r="D94" s="94"/>
      <c r="E94" s="94"/>
      <c r="F94" s="93"/>
      <c r="G94" s="93"/>
      <c r="H94" s="7"/>
    </row>
    <row r="95" spans="1:8" s="6" customFormat="1" x14ac:dyDescent="0.25">
      <c r="B95" s="5" t="s">
        <v>19</v>
      </c>
      <c r="C95" s="59" t="str">
        <f>C92</f>
        <v>DB-FO</v>
      </c>
      <c r="D95" s="142" t="s">
        <v>6</v>
      </c>
      <c r="E95" s="5">
        <v>1</v>
      </c>
      <c r="F95" s="14">
        <v>0</v>
      </c>
      <c r="G95" s="14">
        <f>F95*E95</f>
        <v>0</v>
      </c>
      <c r="H95" s="7"/>
    </row>
    <row r="96" spans="1:8" s="6" customFormat="1" x14ac:dyDescent="0.25">
      <c r="B96" s="5"/>
      <c r="C96" s="59"/>
      <c r="D96" s="142"/>
      <c r="E96" s="5"/>
      <c r="F96" s="14"/>
      <c r="G96" s="14"/>
      <c r="H96" s="7"/>
    </row>
    <row r="97" spans="2:8" s="6" customFormat="1" ht="26.4" x14ac:dyDescent="0.25">
      <c r="B97" s="5" t="s">
        <v>149</v>
      </c>
      <c r="C97" s="55" t="s">
        <v>277</v>
      </c>
      <c r="D97" s="142" t="s">
        <v>5</v>
      </c>
      <c r="E97" s="5">
        <v>1</v>
      </c>
      <c r="F97" s="14">
        <v>0</v>
      </c>
      <c r="G97" s="14">
        <f>E97*F97</f>
        <v>0</v>
      </c>
      <c r="H97" s="7"/>
    </row>
    <row r="98" spans="2:8" s="6" customFormat="1" x14ac:dyDescent="0.25">
      <c r="B98" s="5"/>
      <c r="C98" s="95"/>
      <c r="D98" s="94"/>
      <c r="E98" s="94"/>
      <c r="F98" s="93"/>
      <c r="G98" s="93"/>
      <c r="H98" s="7"/>
    </row>
    <row r="99" spans="2:8" s="6" customFormat="1" x14ac:dyDescent="0.25">
      <c r="B99" s="161" t="s">
        <v>278</v>
      </c>
      <c r="C99" s="52" t="s">
        <v>150</v>
      </c>
      <c r="D99" s="26" t="s">
        <v>0</v>
      </c>
      <c r="E99" s="27"/>
      <c r="F99" s="31"/>
      <c r="G99" s="31"/>
      <c r="H99" s="7"/>
    </row>
    <row r="100" spans="2:8" s="6" customFormat="1" ht="39.6" x14ac:dyDescent="0.25">
      <c r="B100" s="160"/>
      <c r="C100" s="51" t="s">
        <v>151</v>
      </c>
      <c r="D100" s="26"/>
      <c r="E100" s="27"/>
      <c r="F100" s="31"/>
      <c r="G100" s="31"/>
      <c r="H100" s="7"/>
    </row>
    <row r="101" spans="2:8" s="6" customFormat="1" x14ac:dyDescent="0.25">
      <c r="B101" s="160"/>
      <c r="C101" s="51"/>
      <c r="D101" s="26"/>
      <c r="E101" s="27"/>
      <c r="F101" s="31"/>
      <c r="G101" s="31"/>
      <c r="H101" s="7"/>
    </row>
    <row r="102" spans="2:8" s="6" customFormat="1" x14ac:dyDescent="0.25">
      <c r="B102" s="160"/>
      <c r="C102" s="52" t="s">
        <v>58</v>
      </c>
      <c r="D102" s="26"/>
      <c r="E102" s="27"/>
      <c r="F102" s="31"/>
      <c r="G102" s="31"/>
      <c r="H102" s="7"/>
    </row>
    <row r="103" spans="2:8" s="6" customFormat="1" x14ac:dyDescent="0.25">
      <c r="B103" s="160" t="s">
        <v>20</v>
      </c>
      <c r="C103" s="51" t="s">
        <v>152</v>
      </c>
      <c r="D103" s="26" t="s">
        <v>15</v>
      </c>
      <c r="E103" s="27">
        <v>45</v>
      </c>
      <c r="F103" s="93">
        <v>0</v>
      </c>
      <c r="G103" s="25">
        <f>F103*E103</f>
        <v>0</v>
      </c>
      <c r="H103" s="7"/>
    </row>
    <row r="104" spans="2:8" s="6" customFormat="1" x14ac:dyDescent="0.25">
      <c r="B104" s="160"/>
      <c r="C104" s="51"/>
      <c r="D104" s="26"/>
      <c r="E104" s="27"/>
      <c r="F104" s="31"/>
      <c r="G104" s="31"/>
      <c r="H104" s="7"/>
    </row>
    <row r="105" spans="2:8" s="6" customFormat="1" x14ac:dyDescent="0.25">
      <c r="B105" s="160" t="s">
        <v>21</v>
      </c>
      <c r="C105" s="51" t="s">
        <v>155</v>
      </c>
      <c r="D105" s="26" t="s">
        <v>6</v>
      </c>
      <c r="E105" s="27">
        <v>2</v>
      </c>
      <c r="F105" s="93">
        <v>0</v>
      </c>
      <c r="G105" s="25">
        <f>F105*E105</f>
        <v>0</v>
      </c>
      <c r="H105" s="7"/>
    </row>
    <row r="106" spans="2:8" s="6" customFormat="1" x14ac:dyDescent="0.25">
      <c r="B106" s="160"/>
      <c r="C106" s="51"/>
      <c r="D106" s="26"/>
      <c r="E106" s="27"/>
      <c r="F106" s="31"/>
      <c r="G106" s="31"/>
      <c r="H106" s="7"/>
    </row>
    <row r="107" spans="2:8" s="6" customFormat="1" x14ac:dyDescent="0.25">
      <c r="B107" s="160" t="s">
        <v>59</v>
      </c>
      <c r="C107" s="51" t="s">
        <v>154</v>
      </c>
      <c r="D107" s="26" t="s">
        <v>6</v>
      </c>
      <c r="E107" s="27">
        <v>1</v>
      </c>
      <c r="F107" s="93">
        <v>0</v>
      </c>
      <c r="G107" s="25">
        <f>F107*E107</f>
        <v>0</v>
      </c>
      <c r="H107" s="7"/>
    </row>
    <row r="108" spans="2:8" s="6" customFormat="1" x14ac:dyDescent="0.25">
      <c r="B108" s="160"/>
      <c r="C108" s="51"/>
      <c r="D108" s="26"/>
      <c r="E108" s="27"/>
      <c r="F108" s="31"/>
      <c r="G108" s="31"/>
      <c r="H108" s="7"/>
    </row>
    <row r="109" spans="2:8" s="6" customFormat="1" x14ac:dyDescent="0.25">
      <c r="B109" s="160" t="s">
        <v>60</v>
      </c>
      <c r="C109" s="51" t="s">
        <v>153</v>
      </c>
      <c r="D109" s="26" t="s">
        <v>6</v>
      </c>
      <c r="E109" s="27">
        <v>1</v>
      </c>
      <c r="F109" s="93">
        <v>0</v>
      </c>
      <c r="G109" s="25">
        <f>F109*E109</f>
        <v>0</v>
      </c>
      <c r="H109" s="7"/>
    </row>
    <row r="110" spans="2:8" s="6" customFormat="1" x14ac:dyDescent="0.25">
      <c r="B110" s="160"/>
      <c r="C110" s="51"/>
      <c r="D110" s="26"/>
      <c r="E110" s="27"/>
      <c r="F110" s="31"/>
      <c r="G110" s="31"/>
      <c r="H110" s="7"/>
    </row>
    <row r="111" spans="2:8" s="6" customFormat="1" x14ac:dyDescent="0.25">
      <c r="B111" s="160" t="s">
        <v>61</v>
      </c>
      <c r="C111" s="51" t="s">
        <v>161</v>
      </c>
      <c r="D111" s="26" t="s">
        <v>6</v>
      </c>
      <c r="E111" s="27">
        <v>1</v>
      </c>
      <c r="F111" s="93">
        <v>0</v>
      </c>
      <c r="G111" s="25">
        <f>F111*E111</f>
        <v>0</v>
      </c>
      <c r="H111" s="7"/>
    </row>
    <row r="112" spans="2:8" s="6" customFormat="1" x14ac:dyDescent="0.25">
      <c r="B112" s="160"/>
      <c r="C112" s="51"/>
      <c r="D112" s="26"/>
      <c r="E112" s="27"/>
      <c r="F112" s="93"/>
      <c r="G112" s="25"/>
      <c r="H112" s="7"/>
    </row>
    <row r="113" spans="1:8" s="6" customFormat="1" x14ac:dyDescent="0.25">
      <c r="B113" s="160" t="s">
        <v>62</v>
      </c>
      <c r="C113" s="51" t="s">
        <v>162</v>
      </c>
      <c r="D113" s="26" t="s">
        <v>6</v>
      </c>
      <c r="E113" s="27">
        <v>1</v>
      </c>
      <c r="F113" s="93">
        <v>0</v>
      </c>
      <c r="G113" s="25">
        <f>F113*E113</f>
        <v>0</v>
      </c>
      <c r="H113" s="7"/>
    </row>
    <row r="114" spans="1:8" s="6" customFormat="1" x14ac:dyDescent="0.25">
      <c r="B114" s="160"/>
      <c r="C114" s="51"/>
      <c r="D114" s="26"/>
      <c r="E114" s="27"/>
      <c r="F114" s="93"/>
      <c r="G114" s="25"/>
      <c r="H114" s="7"/>
    </row>
    <row r="115" spans="1:8" s="6" customFormat="1" x14ac:dyDescent="0.25">
      <c r="B115" s="160"/>
      <c r="C115" s="52" t="s">
        <v>38</v>
      </c>
      <c r="D115" s="26"/>
      <c r="E115" s="27"/>
      <c r="F115" s="93"/>
      <c r="G115" s="25"/>
      <c r="H115" s="7"/>
    </row>
    <row r="116" spans="1:8" s="6" customFormat="1" x14ac:dyDescent="0.25">
      <c r="B116" s="160" t="s">
        <v>63</v>
      </c>
      <c r="C116" s="96" t="str">
        <f>C103</f>
        <v xml:space="preserve"> P9000 trunking, complete with splices and pvc covers.</v>
      </c>
      <c r="D116" s="97" t="str">
        <f>D103</f>
        <v>m</v>
      </c>
      <c r="E116" s="98">
        <f>E103</f>
        <v>45</v>
      </c>
      <c r="F116" s="93">
        <v>0</v>
      </c>
      <c r="G116" s="93">
        <f>F116*E116</f>
        <v>0</v>
      </c>
      <c r="H116" s="7"/>
    </row>
    <row r="117" spans="1:8" s="6" customFormat="1" x14ac:dyDescent="0.25">
      <c r="B117" s="160"/>
      <c r="C117" s="95"/>
      <c r="D117" s="94"/>
      <c r="E117" s="94"/>
      <c r="F117" s="93"/>
      <c r="G117" s="93"/>
      <c r="H117" s="7"/>
    </row>
    <row r="118" spans="1:8" s="6" customFormat="1" x14ac:dyDescent="0.25">
      <c r="B118" s="160" t="s">
        <v>64</v>
      </c>
      <c r="C118" s="96" t="str">
        <f t="shared" ref="C118:E118" si="1">C105</f>
        <v xml:space="preserve"> End cap for P9000</v>
      </c>
      <c r="D118" s="97" t="str">
        <f t="shared" si="1"/>
        <v>No.</v>
      </c>
      <c r="E118" s="98">
        <f t="shared" si="1"/>
        <v>2</v>
      </c>
      <c r="F118" s="93">
        <v>0</v>
      </c>
      <c r="G118" s="93">
        <f t="shared" ref="G118" si="2">F118*E118</f>
        <v>0</v>
      </c>
      <c r="H118" s="7"/>
    </row>
    <row r="119" spans="1:8" s="6" customFormat="1" x14ac:dyDescent="0.25">
      <c r="B119" s="160"/>
      <c r="C119" s="96"/>
      <c r="D119" s="97"/>
      <c r="E119" s="98"/>
      <c r="F119" s="93"/>
      <c r="G119" s="93"/>
      <c r="H119" s="7"/>
    </row>
    <row r="120" spans="1:8" s="65" customFormat="1" x14ac:dyDescent="0.25">
      <c r="A120" s="30"/>
      <c r="B120" s="160" t="s">
        <v>143</v>
      </c>
      <c r="C120" s="96" t="str">
        <f>C107</f>
        <v xml:space="preserve"> Elbow, 90º bend for P9000</v>
      </c>
      <c r="D120" s="97" t="str">
        <f>D107</f>
        <v>No.</v>
      </c>
      <c r="E120" s="98">
        <f>E107</f>
        <v>1</v>
      </c>
      <c r="F120" s="93">
        <v>0</v>
      </c>
      <c r="G120" s="93">
        <f t="shared" ref="G120" si="3">F120*E120</f>
        <v>0</v>
      </c>
      <c r="H120" s="72"/>
    </row>
    <row r="121" spans="1:8" s="6" customFormat="1" x14ac:dyDescent="0.25">
      <c r="B121" s="160"/>
      <c r="C121" s="96"/>
      <c r="D121" s="97"/>
      <c r="E121" s="98"/>
      <c r="F121" s="93"/>
      <c r="G121" s="93"/>
      <c r="H121" s="7"/>
    </row>
    <row r="122" spans="1:8" s="6" customFormat="1" x14ac:dyDescent="0.25">
      <c r="B122" s="160" t="s">
        <v>144</v>
      </c>
      <c r="C122" s="96" t="str">
        <f>C109</f>
        <v>T-Piece for P9000</v>
      </c>
      <c r="D122" s="97" t="str">
        <f>D109</f>
        <v>No.</v>
      </c>
      <c r="E122" s="98">
        <f>E109</f>
        <v>1</v>
      </c>
      <c r="F122" s="93">
        <v>0</v>
      </c>
      <c r="G122" s="93">
        <f t="shared" ref="G122" si="4">F122*E122</f>
        <v>0</v>
      </c>
      <c r="H122" s="7"/>
    </row>
    <row r="123" spans="1:8" s="6" customFormat="1" x14ac:dyDescent="0.25">
      <c r="B123" s="160"/>
      <c r="C123" s="96"/>
      <c r="D123" s="97"/>
      <c r="E123" s="98"/>
      <c r="F123" s="93"/>
      <c r="G123" s="93"/>
      <c r="H123" s="7"/>
    </row>
    <row r="124" spans="1:8" s="6" customFormat="1" x14ac:dyDescent="0.25">
      <c r="B124" s="160" t="s">
        <v>163</v>
      </c>
      <c r="C124" s="96" t="str">
        <f>C111</f>
        <v xml:space="preserve"> Internal or external riser for P9000</v>
      </c>
      <c r="D124" s="97" t="str">
        <f>D111</f>
        <v>No.</v>
      </c>
      <c r="E124" s="98">
        <f>E111</f>
        <v>1</v>
      </c>
      <c r="F124" s="93">
        <v>0</v>
      </c>
      <c r="G124" s="93">
        <f t="shared" ref="G124" si="5">F124*E124</f>
        <v>0</v>
      </c>
      <c r="H124" s="7"/>
    </row>
    <row r="125" spans="1:8" s="6" customFormat="1" x14ac:dyDescent="0.25">
      <c r="B125" s="160"/>
      <c r="C125" s="96"/>
      <c r="D125" s="97"/>
      <c r="E125" s="98"/>
      <c r="F125" s="93"/>
      <c r="G125" s="93"/>
      <c r="H125" s="7"/>
    </row>
    <row r="126" spans="1:8" s="6" customFormat="1" x14ac:dyDescent="0.25">
      <c r="B126" s="160" t="s">
        <v>164</v>
      </c>
      <c r="C126" s="96" t="str">
        <f>C113</f>
        <v xml:space="preserve"> Distribution outlet for P9000</v>
      </c>
      <c r="D126" s="97" t="str">
        <f>D113</f>
        <v>No.</v>
      </c>
      <c r="E126" s="98">
        <f>E113</f>
        <v>1</v>
      </c>
      <c r="F126" s="93">
        <v>0</v>
      </c>
      <c r="G126" s="93">
        <f t="shared" ref="G126" si="6">F126*E126</f>
        <v>0</v>
      </c>
      <c r="H126" s="7"/>
    </row>
    <row r="127" spans="1:8" s="6" customFormat="1" x14ac:dyDescent="0.25">
      <c r="B127" s="160"/>
      <c r="C127" s="96"/>
      <c r="D127" s="97"/>
      <c r="E127" s="98"/>
      <c r="F127" s="93"/>
      <c r="G127" s="93"/>
      <c r="H127" s="7"/>
    </row>
    <row r="128" spans="1:8" s="6" customFormat="1" x14ac:dyDescent="0.25">
      <c r="B128" s="160"/>
      <c r="C128" s="96"/>
      <c r="D128" s="97"/>
      <c r="E128" s="98"/>
      <c r="F128" s="93"/>
      <c r="G128" s="93"/>
      <c r="H128" s="7"/>
    </row>
    <row r="129" spans="1:8" s="6" customFormat="1" x14ac:dyDescent="0.25">
      <c r="B129" s="160"/>
      <c r="C129" s="96"/>
      <c r="D129" s="97"/>
      <c r="E129" s="98"/>
      <c r="F129" s="93"/>
      <c r="G129" s="93"/>
      <c r="H129" s="7"/>
    </row>
    <row r="130" spans="1:8" s="6" customFormat="1" x14ac:dyDescent="0.25">
      <c r="B130" s="160"/>
      <c r="C130" s="96"/>
      <c r="D130" s="97"/>
      <c r="E130" s="98"/>
      <c r="F130" s="93"/>
      <c r="G130" s="93"/>
      <c r="H130" s="7"/>
    </row>
    <row r="131" spans="1:8" s="6" customFormat="1" x14ac:dyDescent="0.25">
      <c r="B131" s="160"/>
      <c r="C131" s="96"/>
      <c r="D131" s="97"/>
      <c r="E131" s="98"/>
      <c r="F131" s="93"/>
      <c r="G131" s="93"/>
      <c r="H131" s="7"/>
    </row>
    <row r="132" spans="1:8" s="6" customFormat="1" x14ac:dyDescent="0.25">
      <c r="B132" s="5"/>
      <c r="C132" s="51"/>
      <c r="D132" s="26"/>
      <c r="E132" s="27"/>
      <c r="F132" s="29"/>
      <c r="G132" s="28"/>
      <c r="H132" s="7"/>
    </row>
    <row r="133" spans="1:8" s="6" customFormat="1" x14ac:dyDescent="0.25">
      <c r="B133" s="209"/>
      <c r="C133" s="210"/>
      <c r="D133" s="210"/>
      <c r="E133" s="210"/>
      <c r="F133" s="211" t="s">
        <v>170</v>
      </c>
      <c r="G133" s="212">
        <f>SUM(G86:G132)</f>
        <v>0</v>
      </c>
      <c r="H133" s="7"/>
    </row>
    <row r="134" spans="1:8" ht="20.100000000000001" customHeight="1" x14ac:dyDescent="0.25">
      <c r="A134" s="73"/>
      <c r="B134" s="199"/>
      <c r="C134" s="200"/>
      <c r="D134" s="42"/>
      <c r="E134" s="42"/>
      <c r="F134" s="201"/>
      <c r="G134" s="43"/>
      <c r="H134" s="73"/>
    </row>
    <row r="135" spans="1:8" x14ac:dyDescent="0.25">
      <c r="A135" s="139"/>
      <c r="B135" s="213"/>
      <c r="C135" s="214"/>
      <c r="D135" s="213"/>
      <c r="E135" s="37"/>
      <c r="F135" s="215"/>
      <c r="G135" s="216"/>
      <c r="H135" s="139"/>
    </row>
    <row r="136" spans="1:8" x14ac:dyDescent="0.25">
      <c r="A136" s="202"/>
      <c r="B136" s="191" t="s">
        <v>1</v>
      </c>
      <c r="C136" s="192" t="s">
        <v>2</v>
      </c>
      <c r="D136" s="191" t="s">
        <v>3</v>
      </c>
      <c r="E136" s="191" t="s">
        <v>4</v>
      </c>
      <c r="F136" s="193" t="s">
        <v>8</v>
      </c>
      <c r="G136" s="193" t="s">
        <v>9</v>
      </c>
      <c r="H136" s="203"/>
    </row>
    <row r="137" spans="1:8" s="10" customFormat="1" ht="26.25" customHeight="1" x14ac:dyDescent="0.25">
      <c r="B137" s="217"/>
      <c r="C137" s="218"/>
      <c r="D137" s="218"/>
      <c r="E137" s="218"/>
      <c r="F137" s="219" t="s">
        <v>171</v>
      </c>
      <c r="G137" s="220">
        <f>G133</f>
        <v>0</v>
      </c>
      <c r="H137" s="4"/>
    </row>
    <row r="138" spans="1:8" s="74" customFormat="1" x14ac:dyDescent="0.25">
      <c r="A138" s="9"/>
      <c r="B138" s="160"/>
      <c r="C138" s="71"/>
      <c r="D138" s="26"/>
      <c r="E138" s="27"/>
      <c r="F138" s="29"/>
      <c r="G138" s="28"/>
      <c r="H138" s="9"/>
    </row>
    <row r="139" spans="1:8" s="6" customFormat="1" x14ac:dyDescent="0.25">
      <c r="B139" s="162" t="s">
        <v>285</v>
      </c>
      <c r="C139" s="60" t="s">
        <v>65</v>
      </c>
      <c r="D139" s="23"/>
      <c r="E139" s="24"/>
      <c r="F139" s="25"/>
      <c r="G139" s="25"/>
      <c r="H139" s="7"/>
    </row>
    <row r="140" spans="1:8" s="6" customFormat="1" ht="52.8" x14ac:dyDescent="0.25">
      <c r="B140" s="23"/>
      <c r="C140" s="61" t="s">
        <v>66</v>
      </c>
      <c r="D140" s="23"/>
      <c r="E140" s="24"/>
      <c r="F140" s="25"/>
      <c r="G140" s="25"/>
      <c r="H140" s="7"/>
    </row>
    <row r="141" spans="1:8" s="6" customFormat="1" x14ac:dyDescent="0.25">
      <c r="B141" s="23"/>
      <c r="C141" s="61"/>
      <c r="D141" s="23"/>
      <c r="E141" s="24"/>
      <c r="F141" s="25"/>
      <c r="G141" s="25"/>
      <c r="H141" s="7"/>
    </row>
    <row r="142" spans="1:8" s="6" customFormat="1" x14ac:dyDescent="0.25">
      <c r="B142" s="23"/>
      <c r="C142" s="60" t="s">
        <v>35</v>
      </c>
      <c r="D142" s="23"/>
      <c r="E142" s="24"/>
      <c r="F142" s="25"/>
      <c r="G142" s="25"/>
      <c r="H142" s="7"/>
    </row>
    <row r="143" spans="1:8" s="6" customFormat="1" x14ac:dyDescent="0.25">
      <c r="B143" s="23" t="s">
        <v>13</v>
      </c>
      <c r="C143" s="61" t="s">
        <v>67</v>
      </c>
      <c r="D143" s="23" t="s">
        <v>15</v>
      </c>
      <c r="E143" s="24">
        <f>E103</f>
        <v>45</v>
      </c>
      <c r="F143" s="93">
        <v>0</v>
      </c>
      <c r="G143" s="25">
        <f>F143*E143</f>
        <v>0</v>
      </c>
      <c r="H143" s="7"/>
    </row>
    <row r="144" spans="1:8" s="6" customFormat="1" x14ac:dyDescent="0.25">
      <c r="B144" s="23"/>
      <c r="C144" s="61"/>
      <c r="D144" s="23"/>
      <c r="E144" s="24"/>
      <c r="F144" s="25"/>
      <c r="G144" s="25"/>
      <c r="H144" s="7"/>
    </row>
    <row r="145" spans="2:8" s="6" customFormat="1" ht="26.4" x14ac:dyDescent="0.25">
      <c r="B145" s="23" t="s">
        <v>14</v>
      </c>
      <c r="C145" s="61" t="s">
        <v>68</v>
      </c>
      <c r="D145" s="23" t="s">
        <v>6</v>
      </c>
      <c r="E145" s="24">
        <v>2</v>
      </c>
      <c r="F145" s="93">
        <v>0</v>
      </c>
      <c r="G145" s="25">
        <f>F145*E145</f>
        <v>0</v>
      </c>
      <c r="H145" s="7"/>
    </row>
    <row r="146" spans="2:8" s="6" customFormat="1" x14ac:dyDescent="0.25">
      <c r="B146" s="23"/>
      <c r="C146" s="61"/>
      <c r="D146" s="23"/>
      <c r="E146" s="24"/>
      <c r="F146" s="25"/>
      <c r="G146" s="25"/>
      <c r="H146" s="7"/>
    </row>
    <row r="147" spans="2:8" s="6" customFormat="1" x14ac:dyDescent="0.25">
      <c r="B147" s="23" t="s">
        <v>70</v>
      </c>
      <c r="C147" s="61" t="s">
        <v>69</v>
      </c>
      <c r="D147" s="23" t="s">
        <v>6</v>
      </c>
      <c r="E147" s="24">
        <f>E109</f>
        <v>1</v>
      </c>
      <c r="F147" s="93">
        <v>0</v>
      </c>
      <c r="G147" s="25">
        <f>F147*E147</f>
        <v>0</v>
      </c>
      <c r="H147" s="7"/>
    </row>
    <row r="148" spans="2:8" s="6" customFormat="1" x14ac:dyDescent="0.25">
      <c r="B148" s="23"/>
      <c r="C148" s="61"/>
      <c r="D148" s="23"/>
      <c r="E148" s="24"/>
      <c r="F148" s="93"/>
      <c r="G148" s="25"/>
      <c r="H148" s="7"/>
    </row>
    <row r="149" spans="2:8" s="6" customFormat="1" x14ac:dyDescent="0.25">
      <c r="B149" s="23"/>
      <c r="C149" s="60" t="s">
        <v>38</v>
      </c>
      <c r="D149" s="94"/>
      <c r="E149" s="94"/>
      <c r="F149" s="93"/>
      <c r="G149" s="93"/>
      <c r="H149" s="7"/>
    </row>
    <row r="150" spans="2:8" s="6" customFormat="1" x14ac:dyDescent="0.25">
      <c r="B150" s="23" t="s">
        <v>71</v>
      </c>
      <c r="C150" s="96" t="str">
        <f>C143</f>
        <v>Welded Wire Mesh MD cable tray - 150mm wide</v>
      </c>
      <c r="D150" s="97" t="str">
        <f>D143</f>
        <v>m</v>
      </c>
      <c r="E150" s="98">
        <f>E143</f>
        <v>45</v>
      </c>
      <c r="F150" s="93">
        <v>0</v>
      </c>
      <c r="G150" s="93">
        <f>F150*E150</f>
        <v>0</v>
      </c>
      <c r="H150" s="7"/>
    </row>
    <row r="151" spans="2:8" s="6" customFormat="1" x14ac:dyDescent="0.25">
      <c r="B151" s="23"/>
      <c r="C151" s="96"/>
      <c r="D151" s="97"/>
      <c r="E151" s="98"/>
      <c r="F151" s="93"/>
      <c r="G151" s="93"/>
      <c r="H151" s="7"/>
    </row>
    <row r="152" spans="2:8" s="6" customFormat="1" ht="26.4" x14ac:dyDescent="0.25">
      <c r="B152" s="23" t="s">
        <v>72</v>
      </c>
      <c r="C152" s="96" t="str">
        <f>C145</f>
        <v>Welded wire mesh 90° Horizontal Elbow, internal or external , 150mm</v>
      </c>
      <c r="D152" s="97" t="str">
        <f>D145</f>
        <v>No.</v>
      </c>
      <c r="E152" s="98">
        <f>E145</f>
        <v>2</v>
      </c>
      <c r="F152" s="93">
        <v>0</v>
      </c>
      <c r="G152" s="93">
        <f>F152*E152</f>
        <v>0</v>
      </c>
      <c r="H152" s="7"/>
    </row>
    <row r="153" spans="2:8" s="6" customFormat="1" x14ac:dyDescent="0.25">
      <c r="B153" s="23"/>
      <c r="C153" s="95"/>
      <c r="D153" s="94"/>
      <c r="E153" s="94"/>
      <c r="F153" s="93"/>
      <c r="G153" s="93"/>
      <c r="H153" s="7"/>
    </row>
    <row r="154" spans="2:8" s="6" customFormat="1" x14ac:dyDescent="0.25">
      <c r="B154" s="23" t="s">
        <v>138</v>
      </c>
      <c r="C154" s="96" t="str">
        <f>C147</f>
        <v>Tee Piece - 150mm</v>
      </c>
      <c r="D154" s="97" t="str">
        <f>D147</f>
        <v>No.</v>
      </c>
      <c r="E154" s="98">
        <f>E147</f>
        <v>1</v>
      </c>
      <c r="F154" s="93">
        <v>0</v>
      </c>
      <c r="G154" s="93">
        <f>F154*E154</f>
        <v>0</v>
      </c>
      <c r="H154" s="7"/>
    </row>
    <row r="155" spans="2:8" s="6" customFormat="1" x14ac:dyDescent="0.25">
      <c r="B155" s="23"/>
      <c r="C155" s="95"/>
      <c r="D155" s="94"/>
      <c r="E155" s="94"/>
      <c r="F155" s="93"/>
      <c r="G155" s="93"/>
      <c r="H155" s="7"/>
    </row>
    <row r="156" spans="2:8" s="6" customFormat="1" x14ac:dyDescent="0.25">
      <c r="B156" s="141" t="s">
        <v>279</v>
      </c>
      <c r="C156" s="60" t="s">
        <v>39</v>
      </c>
      <c r="D156" s="23"/>
      <c r="E156" s="24"/>
      <c r="F156" s="25"/>
      <c r="G156" s="25"/>
      <c r="H156" s="7"/>
    </row>
    <row r="157" spans="2:8" s="6" customFormat="1" ht="39.6" x14ac:dyDescent="0.25">
      <c r="B157" s="5"/>
      <c r="C157" s="51" t="s">
        <v>40</v>
      </c>
      <c r="D157" s="26"/>
      <c r="E157" s="27"/>
      <c r="F157" s="28"/>
      <c r="G157" s="28"/>
      <c r="H157" s="7"/>
    </row>
    <row r="158" spans="2:8" s="6" customFormat="1" x14ac:dyDescent="0.25">
      <c r="B158" s="5"/>
      <c r="C158" s="51"/>
      <c r="D158" s="26"/>
      <c r="E158" s="27"/>
      <c r="F158" s="28"/>
      <c r="G158" s="28"/>
      <c r="H158" s="7"/>
    </row>
    <row r="159" spans="2:8" s="6" customFormat="1" x14ac:dyDescent="0.25">
      <c r="B159" s="5"/>
      <c r="C159" s="52" t="s">
        <v>35</v>
      </c>
      <c r="D159" s="26"/>
      <c r="E159" s="27"/>
      <c r="F159" s="28"/>
      <c r="G159" s="28"/>
      <c r="H159" s="7"/>
    </row>
    <row r="160" spans="2:8" s="6" customFormat="1" x14ac:dyDescent="0.25">
      <c r="B160" s="5" t="s">
        <v>22</v>
      </c>
      <c r="C160" s="51" t="s">
        <v>41</v>
      </c>
      <c r="D160" s="26" t="s">
        <v>15</v>
      </c>
      <c r="E160" s="163">
        <f>390*1.1+130*1.1</f>
        <v>572</v>
      </c>
      <c r="F160" s="25">
        <v>0</v>
      </c>
      <c r="G160" s="25">
        <f>F160*E160</f>
        <v>0</v>
      </c>
      <c r="H160" s="7"/>
    </row>
    <row r="161" spans="2:8" s="6" customFormat="1" x14ac:dyDescent="0.25">
      <c r="B161" s="5"/>
      <c r="C161" s="51"/>
      <c r="D161" s="26"/>
      <c r="E161" s="163"/>
      <c r="F161" s="25"/>
      <c r="G161" s="25"/>
      <c r="H161" s="7"/>
    </row>
    <row r="162" spans="2:8" s="6" customFormat="1" x14ac:dyDescent="0.25">
      <c r="B162" s="5" t="s">
        <v>23</v>
      </c>
      <c r="C162" s="51" t="s">
        <v>73</v>
      </c>
      <c r="D162" s="26" t="s">
        <v>15</v>
      </c>
      <c r="E162" s="163">
        <v>77</v>
      </c>
      <c r="F162" s="25">
        <v>0</v>
      </c>
      <c r="G162" s="25">
        <f>F162*E162</f>
        <v>0</v>
      </c>
      <c r="H162" s="7"/>
    </row>
    <row r="163" spans="2:8" s="6" customFormat="1" x14ac:dyDescent="0.25">
      <c r="B163" s="5"/>
      <c r="C163" s="51"/>
      <c r="D163" s="26"/>
      <c r="E163" s="163"/>
      <c r="F163" s="25"/>
      <c r="G163" s="25"/>
      <c r="H163" s="7"/>
    </row>
    <row r="164" spans="2:8" s="6" customFormat="1" x14ac:dyDescent="0.25">
      <c r="B164" s="5" t="s">
        <v>24</v>
      </c>
      <c r="C164" s="51" t="s">
        <v>132</v>
      </c>
      <c r="D164" s="26" t="s">
        <v>15</v>
      </c>
      <c r="E164" s="163">
        <v>34</v>
      </c>
      <c r="F164" s="25">
        <v>0</v>
      </c>
      <c r="G164" s="25">
        <f>F164*E164</f>
        <v>0</v>
      </c>
      <c r="H164" s="7"/>
    </row>
    <row r="165" spans="2:8" s="6" customFormat="1" x14ac:dyDescent="0.25">
      <c r="B165" s="5"/>
      <c r="C165" s="51"/>
      <c r="D165" s="26"/>
      <c r="E165" s="164"/>
      <c r="F165" s="25"/>
      <c r="G165" s="25"/>
      <c r="H165" s="7"/>
    </row>
    <row r="166" spans="2:8" s="6" customFormat="1" x14ac:dyDescent="0.25">
      <c r="B166" s="5"/>
      <c r="C166" s="52" t="s">
        <v>38</v>
      </c>
      <c r="D166" s="26"/>
      <c r="E166" s="163"/>
      <c r="F166" s="28"/>
      <c r="G166" s="28"/>
      <c r="H166" s="7"/>
    </row>
    <row r="167" spans="2:8" s="6" customFormat="1" x14ac:dyDescent="0.25">
      <c r="B167" s="5" t="s">
        <v>25</v>
      </c>
      <c r="C167" s="51" t="str">
        <f>C160</f>
        <v xml:space="preserve"> 20 mm diameter</v>
      </c>
      <c r="D167" s="26" t="s">
        <v>15</v>
      </c>
      <c r="E167" s="163">
        <f>E160:E160</f>
        <v>572</v>
      </c>
      <c r="F167" s="25">
        <v>0</v>
      </c>
      <c r="G167" s="25">
        <f>F167*E167</f>
        <v>0</v>
      </c>
      <c r="H167" s="7"/>
    </row>
    <row r="168" spans="2:8" s="6" customFormat="1" x14ac:dyDescent="0.25">
      <c r="B168" s="5"/>
      <c r="C168" s="51"/>
      <c r="D168" s="26"/>
      <c r="E168" s="163"/>
      <c r="F168" s="25"/>
      <c r="G168" s="25"/>
      <c r="H168" s="7"/>
    </row>
    <row r="169" spans="2:8" s="6" customFormat="1" x14ac:dyDescent="0.25">
      <c r="B169" s="5" t="s">
        <v>26</v>
      </c>
      <c r="C169" s="51" t="str">
        <f>C162</f>
        <v xml:space="preserve"> 25 mm diameter</v>
      </c>
      <c r="D169" s="26" t="s">
        <v>15</v>
      </c>
      <c r="E169" s="163">
        <f>E162:E162</f>
        <v>77</v>
      </c>
      <c r="F169" s="25">
        <v>0</v>
      </c>
      <c r="G169" s="25">
        <f>F169*E169</f>
        <v>0</v>
      </c>
      <c r="H169" s="7"/>
    </row>
    <row r="170" spans="2:8" s="6" customFormat="1" x14ac:dyDescent="0.25">
      <c r="B170" s="5"/>
      <c r="C170" s="51"/>
      <c r="D170" s="26"/>
      <c r="E170" s="163"/>
      <c r="F170" s="25"/>
      <c r="G170" s="25"/>
      <c r="H170" s="7"/>
    </row>
    <row r="171" spans="2:8" s="6" customFormat="1" x14ac:dyDescent="0.25">
      <c r="B171" s="5" t="s">
        <v>74</v>
      </c>
      <c r="C171" s="51" t="str">
        <f>C164</f>
        <v xml:space="preserve"> 20 mm diameter - Flexible conduit (Sprague)</v>
      </c>
      <c r="D171" s="26" t="s">
        <v>15</v>
      </c>
      <c r="E171" s="163">
        <f>E164:E164</f>
        <v>34</v>
      </c>
      <c r="F171" s="25">
        <v>0</v>
      </c>
      <c r="G171" s="25">
        <f>F171*E171</f>
        <v>0</v>
      </c>
      <c r="H171" s="7"/>
    </row>
    <row r="172" spans="2:8" s="6" customFormat="1" x14ac:dyDescent="0.25">
      <c r="B172" s="5"/>
      <c r="C172" s="51"/>
      <c r="D172" s="26"/>
      <c r="E172" s="163"/>
      <c r="F172" s="25"/>
      <c r="G172" s="25"/>
      <c r="H172" s="7"/>
    </row>
    <row r="173" spans="2:8" s="6" customFormat="1" x14ac:dyDescent="0.25">
      <c r="B173" s="141" t="s">
        <v>286</v>
      </c>
      <c r="C173" s="52" t="s">
        <v>42</v>
      </c>
      <c r="D173" s="26"/>
      <c r="E173" s="27"/>
      <c r="F173" s="28"/>
      <c r="G173" s="28"/>
      <c r="H173" s="7"/>
    </row>
    <row r="174" spans="2:8" s="6" customFormat="1" ht="26.4" x14ac:dyDescent="0.25">
      <c r="B174" s="5"/>
      <c r="C174" s="51" t="s">
        <v>43</v>
      </c>
      <c r="D174" s="26"/>
      <c r="E174" s="27"/>
      <c r="F174" s="28"/>
      <c r="G174" s="28"/>
      <c r="H174" s="7"/>
    </row>
    <row r="175" spans="2:8" s="6" customFormat="1" x14ac:dyDescent="0.25">
      <c r="B175" s="5"/>
      <c r="C175" s="51"/>
      <c r="D175" s="26"/>
      <c r="E175" s="27"/>
      <c r="F175" s="28"/>
      <c r="G175" s="28"/>
      <c r="H175" s="7"/>
    </row>
    <row r="176" spans="2:8" s="6" customFormat="1" x14ac:dyDescent="0.25">
      <c r="B176" s="5"/>
      <c r="C176" s="52" t="s">
        <v>35</v>
      </c>
      <c r="D176" s="26"/>
      <c r="E176" s="27"/>
      <c r="F176" s="28"/>
      <c r="G176" s="28"/>
      <c r="H176" s="7"/>
    </row>
    <row r="177" spans="1:8" s="6" customFormat="1" x14ac:dyDescent="0.25">
      <c r="B177" s="5" t="s">
        <v>27</v>
      </c>
      <c r="C177" s="51" t="s">
        <v>75</v>
      </c>
      <c r="D177" s="26" t="s">
        <v>6</v>
      </c>
      <c r="E177" s="27">
        <f>E364+E366+E376+E378+E380+E382+E384+E386+E388+E390+E392+E394</f>
        <v>109</v>
      </c>
      <c r="F177" s="25">
        <v>0</v>
      </c>
      <c r="G177" s="25">
        <f>F177*E177</f>
        <v>0</v>
      </c>
      <c r="H177" s="7"/>
    </row>
    <row r="178" spans="1:8" s="6" customFormat="1" x14ac:dyDescent="0.25">
      <c r="B178" s="5"/>
      <c r="C178" s="51"/>
      <c r="D178" s="26"/>
      <c r="E178" s="27"/>
      <c r="F178" s="29"/>
      <c r="G178" s="28"/>
      <c r="H178" s="7"/>
    </row>
    <row r="179" spans="1:8" s="6" customFormat="1" x14ac:dyDescent="0.25">
      <c r="B179" s="5" t="s">
        <v>28</v>
      </c>
      <c r="C179" s="51" t="s">
        <v>76</v>
      </c>
      <c r="D179" s="26" t="s">
        <v>6</v>
      </c>
      <c r="E179" s="27">
        <v>14</v>
      </c>
      <c r="F179" s="25">
        <v>0</v>
      </c>
      <c r="G179" s="25">
        <f>F179*E179</f>
        <v>0</v>
      </c>
      <c r="H179" s="7"/>
    </row>
    <row r="180" spans="1:8" s="6" customFormat="1" x14ac:dyDescent="0.25">
      <c r="B180" s="5"/>
      <c r="C180" s="51"/>
      <c r="D180" s="26"/>
      <c r="E180" s="165"/>
      <c r="F180" s="25"/>
      <c r="G180" s="25"/>
      <c r="H180" s="7"/>
    </row>
    <row r="181" spans="1:8" s="6" customFormat="1" x14ac:dyDescent="0.25">
      <c r="B181" s="5"/>
      <c r="C181" s="51"/>
      <c r="D181" s="26"/>
      <c r="E181" s="165"/>
      <c r="F181" s="25"/>
      <c r="G181" s="25"/>
      <c r="H181" s="7"/>
    </row>
    <row r="182" spans="1:8" s="6" customFormat="1" x14ac:dyDescent="0.25">
      <c r="B182" s="5"/>
      <c r="C182" s="51"/>
      <c r="D182" s="26"/>
      <c r="E182" s="164"/>
      <c r="F182" s="25"/>
      <c r="G182" s="25"/>
      <c r="H182" s="7"/>
    </row>
    <row r="183" spans="1:8" s="6" customFormat="1" x14ac:dyDescent="0.25">
      <c r="B183" s="209"/>
      <c r="C183" s="210"/>
      <c r="D183" s="210"/>
      <c r="E183" s="210"/>
      <c r="F183" s="211" t="s">
        <v>170</v>
      </c>
      <c r="G183" s="212">
        <f>SUM(G137:G182)</f>
        <v>0</v>
      </c>
      <c r="H183" s="7"/>
    </row>
    <row r="184" spans="1:8" ht="20.100000000000001" customHeight="1" x14ac:dyDescent="0.25">
      <c r="A184" s="73"/>
      <c r="B184" s="199"/>
      <c r="C184" s="200"/>
      <c r="D184" s="42"/>
      <c r="E184" s="42"/>
      <c r="F184" s="201"/>
      <c r="G184" s="43"/>
      <c r="H184" s="73"/>
    </row>
    <row r="185" spans="1:8" x14ac:dyDescent="0.25">
      <c r="A185" s="139"/>
      <c r="B185" s="213"/>
      <c r="C185" s="214"/>
      <c r="D185" s="213"/>
      <c r="E185" s="37"/>
      <c r="F185" s="215"/>
      <c r="G185" s="216"/>
      <c r="H185" s="139"/>
    </row>
    <row r="186" spans="1:8" x14ac:dyDescent="0.25">
      <c r="A186" s="139"/>
      <c r="B186" s="191" t="s">
        <v>1</v>
      </c>
      <c r="C186" s="192" t="s">
        <v>2</v>
      </c>
      <c r="D186" s="191" t="s">
        <v>3</v>
      </c>
      <c r="E186" s="191" t="s">
        <v>4</v>
      </c>
      <c r="F186" s="193" t="s">
        <v>8</v>
      </c>
      <c r="G186" s="193" t="s">
        <v>9</v>
      </c>
      <c r="H186" s="139"/>
    </row>
    <row r="187" spans="1:8" s="10" customFormat="1" ht="26.25" customHeight="1" x14ac:dyDescent="0.25">
      <c r="B187" s="217"/>
      <c r="C187" s="218"/>
      <c r="D187" s="218"/>
      <c r="E187" s="218"/>
      <c r="F187" s="219" t="s">
        <v>171</v>
      </c>
      <c r="G187" s="220">
        <f>G183</f>
        <v>0</v>
      </c>
      <c r="H187" s="4"/>
    </row>
    <row r="188" spans="1:8" s="10" customFormat="1" x14ac:dyDescent="0.25">
      <c r="B188" s="227"/>
      <c r="C188" s="229"/>
      <c r="D188" s="229"/>
      <c r="E188" s="229"/>
      <c r="F188" s="230"/>
      <c r="G188" s="228"/>
      <c r="H188" s="4"/>
    </row>
    <row r="189" spans="1:8" s="65" customFormat="1" x14ac:dyDescent="0.25">
      <c r="A189" s="30"/>
      <c r="B189" s="5" t="s">
        <v>77</v>
      </c>
      <c r="C189" s="51" t="s">
        <v>165</v>
      </c>
      <c r="D189" s="26" t="s">
        <v>6</v>
      </c>
      <c r="E189" s="27">
        <v>10</v>
      </c>
      <c r="F189" s="25">
        <v>0</v>
      </c>
      <c r="G189" s="25">
        <f>F189*E189</f>
        <v>0</v>
      </c>
      <c r="H189" s="72"/>
    </row>
    <row r="190" spans="1:8" s="6" customFormat="1" x14ac:dyDescent="0.25">
      <c r="B190" s="5"/>
      <c r="C190" s="51"/>
      <c r="D190" s="26"/>
      <c r="E190" s="165"/>
      <c r="F190" s="29"/>
      <c r="G190" s="28"/>
      <c r="H190" s="7"/>
    </row>
    <row r="191" spans="1:8" s="6" customFormat="1" x14ac:dyDescent="0.25">
      <c r="B191" s="5" t="s">
        <v>78</v>
      </c>
      <c r="C191" s="51" t="s">
        <v>166</v>
      </c>
      <c r="D191" s="26" t="s">
        <v>6</v>
      </c>
      <c r="E191" s="165">
        <v>20</v>
      </c>
      <c r="F191" s="25">
        <v>0</v>
      </c>
      <c r="G191" s="25">
        <f>F191*E191</f>
        <v>0</v>
      </c>
      <c r="H191" s="7"/>
    </row>
    <row r="192" spans="1:8" s="6" customFormat="1" x14ac:dyDescent="0.25">
      <c r="B192" s="5"/>
      <c r="C192" s="51"/>
      <c r="D192" s="26"/>
      <c r="E192" s="165"/>
      <c r="F192" s="25"/>
      <c r="G192" s="25"/>
      <c r="H192" s="7"/>
    </row>
    <row r="193" spans="1:8" s="6" customFormat="1" x14ac:dyDescent="0.25">
      <c r="B193" s="5"/>
      <c r="C193" s="52" t="s">
        <v>38</v>
      </c>
      <c r="D193" s="26"/>
      <c r="E193" s="27"/>
      <c r="F193" s="28"/>
      <c r="G193" s="28"/>
      <c r="H193" s="7"/>
    </row>
    <row r="194" spans="1:8" s="6" customFormat="1" x14ac:dyDescent="0.25">
      <c r="B194" s="5" t="s">
        <v>79</v>
      </c>
      <c r="C194" s="51" t="str">
        <f>C177</f>
        <v>Round box and lid for 20mm conduit</v>
      </c>
      <c r="D194" s="26" t="s">
        <v>6</v>
      </c>
      <c r="E194" s="27">
        <f>E177</f>
        <v>109</v>
      </c>
      <c r="F194" s="25">
        <v>0</v>
      </c>
      <c r="G194" s="25">
        <f>F194*E194</f>
        <v>0</v>
      </c>
      <c r="H194" s="7"/>
    </row>
    <row r="195" spans="1:8" s="6" customFormat="1" x14ac:dyDescent="0.25">
      <c r="B195" s="5"/>
      <c r="C195" s="51"/>
      <c r="D195" s="26"/>
      <c r="E195" s="27"/>
      <c r="F195" s="29"/>
      <c r="G195" s="28"/>
      <c r="H195" s="7"/>
    </row>
    <row r="196" spans="1:8" s="6" customFormat="1" x14ac:dyDescent="0.25">
      <c r="B196" s="5" t="s">
        <v>80</v>
      </c>
      <c r="C196" s="51" t="str">
        <f>C179</f>
        <v>Round box and lid for 25mm conduit</v>
      </c>
      <c r="D196" s="26" t="s">
        <v>6</v>
      </c>
      <c r="E196" s="27">
        <f>E179</f>
        <v>14</v>
      </c>
      <c r="F196" s="25">
        <v>0</v>
      </c>
      <c r="G196" s="25">
        <f>F196*E196</f>
        <v>0</v>
      </c>
      <c r="H196" s="7"/>
    </row>
    <row r="197" spans="1:8" s="6" customFormat="1" x14ac:dyDescent="0.25">
      <c r="B197" s="5"/>
      <c r="C197" s="51"/>
      <c r="D197" s="26"/>
      <c r="E197" s="27"/>
      <c r="F197" s="29"/>
      <c r="G197" s="28"/>
      <c r="H197" s="7"/>
    </row>
    <row r="198" spans="1:8" s="6" customFormat="1" x14ac:dyDescent="0.25">
      <c r="B198" s="5" t="s">
        <v>81</v>
      </c>
      <c r="C198" s="51" t="str">
        <f>C189</f>
        <v xml:space="preserve"> 100 x 50 x 50 Box - Recessed or Surface</v>
      </c>
      <c r="D198" s="26" t="s">
        <v>6</v>
      </c>
      <c r="E198" s="27">
        <f>E189</f>
        <v>10</v>
      </c>
      <c r="F198" s="25">
        <v>0</v>
      </c>
      <c r="G198" s="25">
        <f>F198*E198</f>
        <v>0</v>
      </c>
      <c r="H198" s="7"/>
    </row>
    <row r="199" spans="1:8" s="6" customFormat="1" x14ac:dyDescent="0.25">
      <c r="B199" s="5"/>
      <c r="C199" s="51"/>
      <c r="D199" s="26"/>
      <c r="E199" s="27"/>
      <c r="F199" s="29"/>
      <c r="G199" s="28"/>
      <c r="H199" s="7"/>
    </row>
    <row r="200" spans="1:8" s="6" customFormat="1" x14ac:dyDescent="0.25">
      <c r="B200" s="5" t="s">
        <v>82</v>
      </c>
      <c r="C200" s="51" t="str">
        <f>C191</f>
        <v xml:space="preserve"> 100 x 100 x 50 Box - Recessed or Surface</v>
      </c>
      <c r="D200" s="26" t="s">
        <v>6</v>
      </c>
      <c r="E200" s="27">
        <f>E191</f>
        <v>20</v>
      </c>
      <c r="F200" s="25">
        <v>0</v>
      </c>
      <c r="G200" s="25">
        <f>F200*E200</f>
        <v>0</v>
      </c>
      <c r="H200" s="7"/>
    </row>
    <row r="201" spans="1:8" s="6" customFormat="1" x14ac:dyDescent="0.25">
      <c r="B201" s="5"/>
      <c r="C201" s="51"/>
      <c r="D201" s="26"/>
      <c r="E201" s="27"/>
      <c r="F201" s="29"/>
      <c r="G201" s="28"/>
      <c r="H201" s="7"/>
    </row>
    <row r="202" spans="1:8" s="6" customFormat="1" x14ac:dyDescent="0.25">
      <c r="B202" s="141" t="s">
        <v>287</v>
      </c>
      <c r="C202" s="52" t="s">
        <v>44</v>
      </c>
      <c r="D202" s="166"/>
      <c r="E202" s="27"/>
      <c r="F202" s="28"/>
      <c r="G202" s="28"/>
      <c r="H202" s="7"/>
    </row>
    <row r="203" spans="1:8" s="6" customFormat="1" ht="26.4" x14ac:dyDescent="0.25">
      <c r="B203" s="5"/>
      <c r="C203" s="62" t="s">
        <v>45</v>
      </c>
      <c r="D203" s="166"/>
      <c r="E203" s="27"/>
      <c r="F203" s="28"/>
      <c r="G203" s="28"/>
      <c r="H203" s="7"/>
    </row>
    <row r="204" spans="1:8" s="6" customFormat="1" x14ac:dyDescent="0.25">
      <c r="B204" s="5"/>
      <c r="C204" s="62"/>
      <c r="D204" s="166"/>
      <c r="E204" s="27"/>
      <c r="F204" s="28"/>
      <c r="G204" s="28"/>
      <c r="H204" s="7"/>
    </row>
    <row r="205" spans="1:8" s="6" customFormat="1" x14ac:dyDescent="0.25">
      <c r="B205" s="5"/>
      <c r="C205" s="52" t="s">
        <v>35</v>
      </c>
      <c r="D205" s="166"/>
      <c r="E205" s="27"/>
      <c r="F205" s="28"/>
      <c r="G205" s="28"/>
      <c r="H205" s="7"/>
    </row>
    <row r="206" spans="1:8" s="6" customFormat="1" x14ac:dyDescent="0.25">
      <c r="B206" s="5" t="s">
        <v>48</v>
      </c>
      <c r="C206" s="51" t="s">
        <v>46</v>
      </c>
      <c r="D206" s="26" t="s">
        <v>15</v>
      </c>
      <c r="E206" s="27">
        <f>E160*4.5*1.2</f>
        <v>3088.7999999999997</v>
      </c>
      <c r="F206" s="25">
        <v>0</v>
      </c>
      <c r="G206" s="25">
        <f>F206*E206</f>
        <v>0</v>
      </c>
      <c r="H206" s="7"/>
    </row>
    <row r="207" spans="1:8" s="74" customFormat="1" ht="21.75" customHeight="1" x14ac:dyDescent="0.25">
      <c r="A207" s="9"/>
      <c r="B207" s="160"/>
      <c r="C207" s="71" t="s">
        <v>172</v>
      </c>
      <c r="D207" s="26"/>
      <c r="E207" s="27"/>
      <c r="F207" s="29"/>
      <c r="G207" s="28"/>
      <c r="H207" s="9"/>
    </row>
    <row r="208" spans="1:8" s="6" customFormat="1" x14ac:dyDescent="0.25">
      <c r="B208" s="5" t="s">
        <v>49</v>
      </c>
      <c r="C208" s="51" t="s">
        <v>83</v>
      </c>
      <c r="D208" s="26" t="s">
        <v>15</v>
      </c>
      <c r="E208" s="27">
        <f>E160*3.5*1.2</f>
        <v>2402.4</v>
      </c>
      <c r="F208" s="25">
        <v>0</v>
      </c>
      <c r="G208" s="25">
        <f>F208*E208</f>
        <v>0</v>
      </c>
      <c r="H208" s="7"/>
    </row>
    <row r="209" spans="2:8" s="6" customFormat="1" x14ac:dyDescent="0.25">
      <c r="B209" s="5"/>
      <c r="C209" s="51"/>
      <c r="D209" s="26"/>
      <c r="E209" s="165"/>
      <c r="F209" s="25"/>
      <c r="G209" s="25"/>
      <c r="H209" s="7"/>
    </row>
    <row r="210" spans="2:8" s="6" customFormat="1" x14ac:dyDescent="0.25">
      <c r="B210" s="5" t="s">
        <v>50</v>
      </c>
      <c r="C210" s="51" t="s">
        <v>84</v>
      </c>
      <c r="D210" s="26" t="s">
        <v>15</v>
      </c>
      <c r="E210" s="27">
        <v>400</v>
      </c>
      <c r="F210" s="25">
        <v>0</v>
      </c>
      <c r="G210" s="25">
        <f>F210*E210</f>
        <v>0</v>
      </c>
      <c r="H210" s="7"/>
    </row>
    <row r="211" spans="2:8" s="6" customFormat="1" x14ac:dyDescent="0.25">
      <c r="B211" s="5"/>
      <c r="C211" s="51"/>
      <c r="D211" s="167"/>
      <c r="E211" s="27"/>
      <c r="F211" s="25"/>
      <c r="G211" s="25"/>
      <c r="H211" s="7"/>
    </row>
    <row r="212" spans="2:8" s="6" customFormat="1" x14ac:dyDescent="0.25">
      <c r="B212" s="5"/>
      <c r="C212" s="52" t="s">
        <v>38</v>
      </c>
      <c r="D212" s="166"/>
      <c r="E212" s="27"/>
      <c r="F212" s="28"/>
      <c r="G212" s="28"/>
      <c r="H212" s="7"/>
    </row>
    <row r="213" spans="2:8" s="6" customFormat="1" x14ac:dyDescent="0.25">
      <c r="B213" s="5" t="s">
        <v>51</v>
      </c>
      <c r="C213" s="51" t="str">
        <f>C206</f>
        <v xml:space="preserve"> 1.5 mm² - (House Wire)</v>
      </c>
      <c r="D213" s="26" t="s">
        <v>15</v>
      </c>
      <c r="E213" s="27">
        <f>E206</f>
        <v>3088.7999999999997</v>
      </c>
      <c r="F213" s="25">
        <v>0</v>
      </c>
      <c r="G213" s="25">
        <f>F213*E213</f>
        <v>0</v>
      </c>
      <c r="H213" s="7"/>
    </row>
    <row r="214" spans="2:8" s="6" customFormat="1" x14ac:dyDescent="0.25">
      <c r="B214" s="5"/>
      <c r="C214" s="51"/>
      <c r="D214" s="26"/>
      <c r="E214" s="165"/>
      <c r="F214" s="25"/>
      <c r="G214" s="25"/>
      <c r="H214" s="7"/>
    </row>
    <row r="215" spans="2:8" s="6" customFormat="1" x14ac:dyDescent="0.25">
      <c r="B215" s="5" t="s">
        <v>85</v>
      </c>
      <c r="C215" s="51" t="str">
        <f>C208</f>
        <v xml:space="preserve"> 2.5 mm² - (House Wire)</v>
      </c>
      <c r="D215" s="26" t="s">
        <v>15</v>
      </c>
      <c r="E215" s="27">
        <f>E208</f>
        <v>2402.4</v>
      </c>
      <c r="F215" s="25">
        <v>0</v>
      </c>
      <c r="G215" s="25">
        <f>F215*E215</f>
        <v>0</v>
      </c>
      <c r="H215" s="7"/>
    </row>
    <row r="216" spans="2:8" s="6" customFormat="1" x14ac:dyDescent="0.25">
      <c r="B216" s="5"/>
      <c r="C216" s="51"/>
      <c r="D216" s="26"/>
      <c r="E216" s="165"/>
      <c r="F216" s="25"/>
      <c r="G216" s="25"/>
      <c r="H216" s="7"/>
    </row>
    <row r="217" spans="2:8" s="6" customFormat="1" x14ac:dyDescent="0.25">
      <c r="B217" s="5" t="s">
        <v>86</v>
      </c>
      <c r="C217" s="51" t="str">
        <f>C210</f>
        <v xml:space="preserve"> 4 mm² - (House Wire)</v>
      </c>
      <c r="D217" s="26" t="s">
        <v>15</v>
      </c>
      <c r="E217" s="27">
        <f>E210</f>
        <v>400</v>
      </c>
      <c r="F217" s="25">
        <v>0</v>
      </c>
      <c r="G217" s="25">
        <f>F217*E217</f>
        <v>0</v>
      </c>
      <c r="H217" s="7"/>
    </row>
    <row r="218" spans="2:8" s="6" customFormat="1" x14ac:dyDescent="0.25">
      <c r="B218" s="5"/>
      <c r="C218" s="51"/>
      <c r="D218" s="26"/>
      <c r="E218" s="165"/>
      <c r="F218" s="25"/>
      <c r="G218" s="25"/>
      <c r="H218" s="7"/>
    </row>
    <row r="219" spans="2:8" s="6" customFormat="1" x14ac:dyDescent="0.25">
      <c r="B219" s="168" t="s">
        <v>288</v>
      </c>
      <c r="C219" s="52" t="s">
        <v>96</v>
      </c>
      <c r="D219" s="26"/>
      <c r="E219" s="27"/>
      <c r="F219" s="28"/>
      <c r="G219" s="28"/>
      <c r="H219" s="7"/>
    </row>
    <row r="220" spans="2:8" s="6" customFormat="1" ht="26.4" x14ac:dyDescent="0.25">
      <c r="B220" s="160"/>
      <c r="C220" s="51" t="s">
        <v>159</v>
      </c>
      <c r="D220" s="26"/>
      <c r="E220" s="27"/>
      <c r="F220" s="28"/>
      <c r="G220" s="28"/>
      <c r="H220" s="7"/>
    </row>
    <row r="221" spans="2:8" s="6" customFormat="1" x14ac:dyDescent="0.25">
      <c r="B221" s="160"/>
      <c r="C221" s="51"/>
      <c r="D221" s="26"/>
      <c r="E221" s="27"/>
      <c r="F221" s="28"/>
      <c r="G221" s="28"/>
      <c r="H221" s="7"/>
    </row>
    <row r="222" spans="2:8" s="6" customFormat="1" x14ac:dyDescent="0.25">
      <c r="B222" s="169"/>
      <c r="C222" s="52" t="s">
        <v>35</v>
      </c>
      <c r="D222" s="26"/>
      <c r="E222" s="27"/>
      <c r="F222" s="28"/>
      <c r="G222" s="28"/>
      <c r="H222" s="7"/>
    </row>
    <row r="223" spans="2:8" s="6" customFormat="1" ht="26.4" x14ac:dyDescent="0.25">
      <c r="B223" s="160" t="s">
        <v>289</v>
      </c>
      <c r="C223" s="51" t="s">
        <v>160</v>
      </c>
      <c r="D223" s="26" t="s">
        <v>15</v>
      </c>
      <c r="E223" s="27">
        <v>40</v>
      </c>
      <c r="F223" s="93">
        <v>0</v>
      </c>
      <c r="G223" s="25">
        <f>F223*E223</f>
        <v>0</v>
      </c>
      <c r="H223" s="7"/>
    </row>
    <row r="224" spans="2:8" s="6" customFormat="1" x14ac:dyDescent="0.25">
      <c r="B224" s="169"/>
      <c r="C224" s="51"/>
      <c r="D224" s="26"/>
      <c r="E224" s="27"/>
      <c r="F224" s="29"/>
      <c r="G224" s="28"/>
      <c r="H224" s="7"/>
    </row>
    <row r="225" spans="1:8" s="6" customFormat="1" ht="26.4" x14ac:dyDescent="0.25">
      <c r="B225" s="160" t="s">
        <v>290</v>
      </c>
      <c r="C225" s="51" t="s">
        <v>97</v>
      </c>
      <c r="D225" s="26" t="s">
        <v>12</v>
      </c>
      <c r="E225" s="27">
        <v>1</v>
      </c>
      <c r="F225" s="93">
        <v>0</v>
      </c>
      <c r="G225" s="25">
        <f>F225*E225</f>
        <v>0</v>
      </c>
      <c r="H225" s="7"/>
    </row>
    <row r="226" spans="1:8" s="6" customFormat="1" x14ac:dyDescent="0.25">
      <c r="B226" s="169"/>
      <c r="C226" s="51"/>
      <c r="D226" s="26"/>
      <c r="E226" s="27"/>
      <c r="F226" s="29"/>
      <c r="G226" s="28"/>
      <c r="H226" s="7"/>
    </row>
    <row r="227" spans="1:8" s="6" customFormat="1" ht="26.4" x14ac:dyDescent="0.25">
      <c r="B227" s="160" t="s">
        <v>291</v>
      </c>
      <c r="C227" s="51" t="s">
        <v>145</v>
      </c>
      <c r="D227" s="26" t="s">
        <v>6</v>
      </c>
      <c r="E227" s="27">
        <v>1</v>
      </c>
      <c r="F227" s="93">
        <v>0</v>
      </c>
      <c r="G227" s="25">
        <f>F227*E227</f>
        <v>0</v>
      </c>
      <c r="H227" s="7"/>
    </row>
    <row r="228" spans="1:8" s="6" customFormat="1" x14ac:dyDescent="0.25">
      <c r="B228" s="169"/>
      <c r="C228" s="51"/>
      <c r="D228" s="26"/>
      <c r="E228" s="27"/>
      <c r="F228" s="29"/>
      <c r="G228" s="28"/>
      <c r="H228" s="7"/>
    </row>
    <row r="229" spans="1:8" s="6" customFormat="1" ht="39.6" x14ac:dyDescent="0.25">
      <c r="B229" s="160" t="s">
        <v>292</v>
      </c>
      <c r="C229" s="51" t="s">
        <v>242</v>
      </c>
      <c r="D229" s="26" t="s">
        <v>6</v>
      </c>
      <c r="E229" s="27">
        <v>24</v>
      </c>
      <c r="F229" s="93">
        <v>0</v>
      </c>
      <c r="G229" s="25">
        <f>F229*E229</f>
        <v>0</v>
      </c>
      <c r="H229" s="7"/>
    </row>
    <row r="230" spans="1:8" s="6" customFormat="1" x14ac:dyDescent="0.25">
      <c r="B230" s="160"/>
      <c r="C230" s="51"/>
      <c r="D230" s="26"/>
      <c r="E230" s="27"/>
      <c r="F230" s="93"/>
      <c r="G230" s="25"/>
      <c r="H230" s="7"/>
    </row>
    <row r="231" spans="1:8" s="6" customFormat="1" x14ac:dyDescent="0.25">
      <c r="B231" s="160"/>
      <c r="C231" s="51"/>
      <c r="D231" s="26"/>
      <c r="E231" s="27"/>
      <c r="F231" s="93"/>
      <c r="G231" s="25"/>
      <c r="H231" s="7"/>
    </row>
    <row r="232" spans="1:8" s="6" customFormat="1" x14ac:dyDescent="0.25">
      <c r="B232" s="160"/>
      <c r="C232" s="51"/>
      <c r="D232" s="26"/>
      <c r="E232" s="27"/>
      <c r="F232" s="93"/>
      <c r="G232" s="25"/>
      <c r="H232" s="7"/>
    </row>
    <row r="233" spans="1:8" s="6" customFormat="1" x14ac:dyDescent="0.25">
      <c r="B233" s="169"/>
      <c r="C233" s="51"/>
      <c r="D233" s="26"/>
      <c r="E233" s="27"/>
      <c r="F233" s="29"/>
      <c r="G233" s="25"/>
      <c r="H233" s="7"/>
    </row>
    <row r="234" spans="1:8" s="6" customFormat="1" x14ac:dyDescent="0.25">
      <c r="B234" s="209"/>
      <c r="C234" s="210"/>
      <c r="D234" s="210"/>
      <c r="E234" s="210"/>
      <c r="F234" s="211" t="s">
        <v>170</v>
      </c>
      <c r="G234" s="212">
        <f>SUM(G187:G233)</f>
        <v>0</v>
      </c>
      <c r="H234" s="7"/>
    </row>
    <row r="235" spans="1:8" x14ac:dyDescent="0.25">
      <c r="A235" s="73"/>
      <c r="B235" s="199"/>
      <c r="C235" s="200"/>
      <c r="D235" s="42"/>
      <c r="E235" s="42"/>
      <c r="F235" s="201"/>
      <c r="G235" s="43"/>
      <c r="H235" s="73"/>
    </row>
    <row r="236" spans="1:8" x14ac:dyDescent="0.25">
      <c r="A236" s="139"/>
      <c r="B236" s="213"/>
      <c r="C236" s="214"/>
      <c r="D236" s="213"/>
      <c r="E236" s="37"/>
      <c r="F236" s="215"/>
      <c r="G236" s="216"/>
      <c r="H236" s="139"/>
    </row>
    <row r="237" spans="1:8" x14ac:dyDescent="0.25">
      <c r="A237" s="202"/>
      <c r="B237" s="191" t="s">
        <v>1</v>
      </c>
      <c r="C237" s="192" t="s">
        <v>2</v>
      </c>
      <c r="D237" s="191" t="s">
        <v>3</v>
      </c>
      <c r="E237" s="191" t="s">
        <v>4</v>
      </c>
      <c r="F237" s="193" t="s">
        <v>8</v>
      </c>
      <c r="G237" s="193" t="s">
        <v>9</v>
      </c>
      <c r="H237" s="203"/>
    </row>
    <row r="238" spans="1:8" s="10" customFormat="1" ht="26.25" customHeight="1" x14ac:dyDescent="0.25">
      <c r="B238" s="217"/>
      <c r="C238" s="218"/>
      <c r="D238" s="218"/>
      <c r="E238" s="218"/>
      <c r="F238" s="219" t="s">
        <v>171</v>
      </c>
      <c r="G238" s="220">
        <f>G234</f>
        <v>0</v>
      </c>
      <c r="H238" s="4"/>
    </row>
    <row r="239" spans="1:8" s="74" customFormat="1" x14ac:dyDescent="0.25">
      <c r="A239" s="9"/>
      <c r="B239" s="160"/>
      <c r="C239" s="71"/>
      <c r="D239" s="26"/>
      <c r="E239" s="27"/>
      <c r="F239" s="29"/>
      <c r="G239" s="28"/>
      <c r="H239" s="9"/>
    </row>
    <row r="240" spans="1:8" s="6" customFormat="1" ht="26.4" x14ac:dyDescent="0.25">
      <c r="B240" s="160" t="s">
        <v>293</v>
      </c>
      <c r="C240" s="51" t="s">
        <v>98</v>
      </c>
      <c r="D240" s="26" t="s">
        <v>12</v>
      </c>
      <c r="E240" s="27">
        <v>1</v>
      </c>
      <c r="F240" s="93">
        <v>0</v>
      </c>
      <c r="G240" s="25">
        <f>F240*E240</f>
        <v>0</v>
      </c>
      <c r="H240" s="7"/>
    </row>
    <row r="241" spans="1:8" s="6" customFormat="1" x14ac:dyDescent="0.25">
      <c r="B241" s="169"/>
      <c r="C241" s="51"/>
      <c r="D241" s="26"/>
      <c r="E241" s="27"/>
      <c r="F241" s="29"/>
      <c r="G241" s="25"/>
      <c r="H241" s="7"/>
    </row>
    <row r="242" spans="1:8" s="6" customFormat="1" ht="26.4" x14ac:dyDescent="0.25">
      <c r="B242" s="160" t="s">
        <v>294</v>
      </c>
      <c r="C242" s="51" t="s">
        <v>99</v>
      </c>
      <c r="D242" s="26" t="s">
        <v>6</v>
      </c>
      <c r="E242" s="27">
        <v>1</v>
      </c>
      <c r="F242" s="93">
        <v>0</v>
      </c>
      <c r="G242" s="25">
        <f>F242*E242</f>
        <v>0</v>
      </c>
      <c r="H242" s="7"/>
    </row>
    <row r="243" spans="1:8" s="6" customFormat="1" x14ac:dyDescent="0.25">
      <c r="B243" s="160"/>
      <c r="C243" s="51"/>
      <c r="D243" s="26"/>
      <c r="E243" s="27"/>
      <c r="F243" s="93"/>
      <c r="G243" s="25"/>
      <c r="H243" s="7"/>
    </row>
    <row r="244" spans="1:8" s="65" customFormat="1" x14ac:dyDescent="0.25">
      <c r="A244" s="30"/>
      <c r="B244" s="160" t="s">
        <v>295</v>
      </c>
      <c r="C244" s="51" t="s">
        <v>100</v>
      </c>
      <c r="D244" s="26" t="s">
        <v>6</v>
      </c>
      <c r="E244" s="27">
        <v>1</v>
      </c>
      <c r="F244" s="93">
        <v>0</v>
      </c>
      <c r="G244" s="25">
        <f>F244*E244</f>
        <v>0</v>
      </c>
      <c r="H244" s="72"/>
    </row>
    <row r="245" spans="1:8" s="6" customFormat="1" x14ac:dyDescent="0.25">
      <c r="B245" s="169"/>
      <c r="C245" s="51"/>
      <c r="D245" s="26"/>
      <c r="E245" s="27"/>
      <c r="F245" s="29"/>
      <c r="G245" s="25"/>
      <c r="H245" s="7"/>
    </row>
    <row r="246" spans="1:8" s="6" customFormat="1" x14ac:dyDescent="0.25">
      <c r="B246" s="160" t="s">
        <v>296</v>
      </c>
      <c r="C246" s="51" t="s">
        <v>101</v>
      </c>
      <c r="D246" s="26" t="s">
        <v>12</v>
      </c>
      <c r="E246" s="27">
        <v>16</v>
      </c>
      <c r="F246" s="93">
        <v>0</v>
      </c>
      <c r="G246" s="25">
        <f>F246*E246</f>
        <v>0</v>
      </c>
      <c r="H246" s="7"/>
    </row>
    <row r="247" spans="1:8" s="6" customFormat="1" x14ac:dyDescent="0.25">
      <c r="B247" s="160"/>
      <c r="C247" s="51"/>
      <c r="D247" s="26"/>
      <c r="E247" s="165"/>
      <c r="F247" s="93"/>
      <c r="G247" s="25"/>
      <c r="H247" s="7"/>
    </row>
    <row r="248" spans="1:8" s="6" customFormat="1" x14ac:dyDescent="0.25">
      <c r="B248" s="169"/>
      <c r="C248" s="52" t="s">
        <v>38</v>
      </c>
      <c r="D248" s="26"/>
      <c r="E248" s="163"/>
      <c r="F248" s="29"/>
      <c r="G248" s="25"/>
      <c r="H248" s="7"/>
    </row>
    <row r="249" spans="1:8" s="6" customFormat="1" ht="26.4" x14ac:dyDescent="0.25">
      <c r="B249" s="160" t="s">
        <v>297</v>
      </c>
      <c r="C249" s="63" t="str">
        <f>C223</f>
        <v>2 tier Power Skirting, OBO White, complete with covers, splices etc.</v>
      </c>
      <c r="D249" s="26" t="str">
        <f>D223</f>
        <v>m</v>
      </c>
      <c r="E249" s="163">
        <f>E223</f>
        <v>40</v>
      </c>
      <c r="F249" s="93">
        <v>0</v>
      </c>
      <c r="G249" s="25">
        <f>F249*E249</f>
        <v>0</v>
      </c>
      <c r="H249" s="7"/>
    </row>
    <row r="250" spans="1:8" s="6" customFormat="1" x14ac:dyDescent="0.25">
      <c r="B250" s="169"/>
      <c r="C250" s="64"/>
      <c r="D250" s="26"/>
      <c r="E250" s="163"/>
      <c r="F250" s="29"/>
      <c r="G250" s="25"/>
      <c r="H250" s="7"/>
    </row>
    <row r="251" spans="1:8" s="6" customFormat="1" ht="26.4" x14ac:dyDescent="0.25">
      <c r="B251" s="160" t="s">
        <v>298</v>
      </c>
      <c r="C251" s="63" t="str">
        <f>C225</f>
        <v>16A SSO, 164-1, skirting type complete with covers and cradles (Normal)</v>
      </c>
      <c r="D251" s="26" t="str">
        <f>D225</f>
        <v>No</v>
      </c>
      <c r="E251" s="163">
        <f>E225</f>
        <v>1</v>
      </c>
      <c r="F251" s="93">
        <v>0</v>
      </c>
      <c r="G251" s="25">
        <f>F251*E251</f>
        <v>0</v>
      </c>
      <c r="H251" s="7"/>
    </row>
    <row r="252" spans="1:8" s="6" customFormat="1" x14ac:dyDescent="0.25">
      <c r="B252" s="169"/>
      <c r="C252" s="64"/>
      <c r="D252" s="26"/>
      <c r="E252" s="163"/>
      <c r="F252" s="29"/>
      <c r="G252" s="25"/>
      <c r="H252" s="7"/>
    </row>
    <row r="253" spans="1:8" s="6" customFormat="1" ht="26.4" x14ac:dyDescent="0.25">
      <c r="B253" s="160" t="s">
        <v>299</v>
      </c>
      <c r="C253" s="63" t="str">
        <f>C227</f>
        <v>16A, SSO, 164-2 (Euro) with switch skirting type complete with, switch, covers and cradles (Normal)</v>
      </c>
      <c r="D253" s="26" t="str">
        <f>D227</f>
        <v>No.</v>
      </c>
      <c r="E253" s="163">
        <f>E227</f>
        <v>1</v>
      </c>
      <c r="F253" s="93">
        <v>0</v>
      </c>
      <c r="G253" s="25">
        <f>F253*E253</f>
        <v>0</v>
      </c>
      <c r="H253" s="7"/>
    </row>
    <row r="254" spans="1:8" s="6" customFormat="1" x14ac:dyDescent="0.25">
      <c r="B254" s="169"/>
      <c r="C254" s="64"/>
      <c r="D254" s="26"/>
      <c r="E254" s="163"/>
      <c r="F254" s="29"/>
      <c r="G254" s="25"/>
      <c r="H254" s="7"/>
    </row>
    <row r="255" spans="1:8" s="6" customFormat="1" ht="39.6" x14ac:dyDescent="0.25">
      <c r="B255" s="160" t="s">
        <v>300</v>
      </c>
      <c r="C255" s="63" t="str">
        <f>C229</f>
        <v>CP2, Set of outlets in power skirting consisting of: 1xold RSA SSO, 1xnew RSA SSO(Euro), 2xDed SSO, 1xUSB SSO, 2xRJ45 outlets</v>
      </c>
      <c r="D255" s="26" t="str">
        <f>D229</f>
        <v>No.</v>
      </c>
      <c r="E255" s="163">
        <f>E229</f>
        <v>24</v>
      </c>
      <c r="F255" s="93">
        <v>0</v>
      </c>
      <c r="G255" s="25">
        <f>F255*E255</f>
        <v>0</v>
      </c>
      <c r="H255" s="7"/>
    </row>
    <row r="256" spans="1:8" s="6" customFormat="1" ht="26.4" x14ac:dyDescent="0.25">
      <c r="B256" s="160" t="s">
        <v>301</v>
      </c>
      <c r="C256" s="63" t="str">
        <f>C240</f>
        <v xml:space="preserve">Data/Telephone outlets, 1 x RJ45 complete with cradle &amp; covers, skirting type </v>
      </c>
      <c r="D256" s="26" t="str">
        <f>D240</f>
        <v>No</v>
      </c>
      <c r="E256" s="163">
        <f>E240</f>
        <v>1</v>
      </c>
      <c r="F256" s="93">
        <v>0</v>
      </c>
      <c r="G256" s="25">
        <f>F256*E256</f>
        <v>0</v>
      </c>
      <c r="H256" s="7"/>
    </row>
    <row r="257" spans="2:8" s="6" customFormat="1" x14ac:dyDescent="0.25">
      <c r="B257" s="169"/>
      <c r="C257" s="63"/>
      <c r="D257" s="26"/>
      <c r="E257" s="163"/>
      <c r="F257" s="29"/>
      <c r="G257" s="25"/>
      <c r="H257" s="7"/>
    </row>
    <row r="258" spans="2:8" s="6" customFormat="1" ht="26.4" x14ac:dyDescent="0.25">
      <c r="B258" s="160" t="s">
        <v>302</v>
      </c>
      <c r="C258" s="63" t="str">
        <f>C242</f>
        <v>USB Duo &amp; blank, skirting type complete with covers and cradles</v>
      </c>
      <c r="D258" s="26" t="str">
        <f>D242</f>
        <v>No.</v>
      </c>
      <c r="E258" s="163">
        <f>E242</f>
        <v>1</v>
      </c>
      <c r="F258" s="93">
        <v>0</v>
      </c>
      <c r="G258" s="25">
        <f>F258*E258</f>
        <v>0</v>
      </c>
      <c r="H258" s="7"/>
    </row>
    <row r="259" spans="2:8" s="6" customFormat="1" x14ac:dyDescent="0.25">
      <c r="B259" s="169"/>
      <c r="C259" s="64"/>
      <c r="D259" s="26"/>
      <c r="E259" s="163"/>
      <c r="F259" s="29"/>
      <c r="G259" s="25"/>
      <c r="H259" s="7"/>
    </row>
    <row r="260" spans="2:8" s="6" customFormat="1" x14ac:dyDescent="0.25">
      <c r="B260" s="160" t="s">
        <v>303</v>
      </c>
      <c r="C260" s="63" t="str">
        <f>C244</f>
        <v>Internal Corners for Power Skirting - 2 Tier</v>
      </c>
      <c r="D260" s="26" t="str">
        <f>D244</f>
        <v>No.</v>
      </c>
      <c r="E260" s="163">
        <f>E244</f>
        <v>1</v>
      </c>
      <c r="F260" s="93">
        <v>0</v>
      </c>
      <c r="G260" s="25">
        <f>F260*E260</f>
        <v>0</v>
      </c>
      <c r="H260" s="7"/>
    </row>
    <row r="261" spans="2:8" s="6" customFormat="1" x14ac:dyDescent="0.25">
      <c r="B261" s="169"/>
      <c r="C261" s="64"/>
      <c r="D261" s="26"/>
      <c r="E261" s="163"/>
      <c r="F261" s="29"/>
      <c r="G261" s="25"/>
      <c r="H261" s="7"/>
    </row>
    <row r="262" spans="2:8" s="6" customFormat="1" ht="11.1" customHeight="1" x14ac:dyDescent="0.25">
      <c r="B262" s="160" t="s">
        <v>304</v>
      </c>
      <c r="C262" s="63" t="str">
        <f>C246</f>
        <v>End caps for Power Skirting - 2 Tier</v>
      </c>
      <c r="D262" s="26" t="str">
        <f>D246</f>
        <v>No</v>
      </c>
      <c r="E262" s="163">
        <f>E246</f>
        <v>16</v>
      </c>
      <c r="F262" s="93">
        <v>0</v>
      </c>
      <c r="G262" s="25">
        <f>F262*E262</f>
        <v>0</v>
      </c>
      <c r="H262" s="7"/>
    </row>
    <row r="263" spans="2:8" s="6" customFormat="1" x14ac:dyDescent="0.25">
      <c r="B263" s="169"/>
      <c r="C263" s="64"/>
      <c r="D263" s="26"/>
      <c r="E263" s="163"/>
      <c r="F263" s="29"/>
      <c r="G263" s="25"/>
      <c r="H263" s="7"/>
    </row>
    <row r="264" spans="2:8" s="6" customFormat="1" x14ac:dyDescent="0.25">
      <c r="B264" s="160"/>
      <c r="C264" s="63"/>
      <c r="D264" s="26"/>
      <c r="E264" s="163"/>
      <c r="F264" s="93"/>
      <c r="G264" s="25"/>
      <c r="H264" s="7"/>
    </row>
    <row r="265" spans="2:8" s="6" customFormat="1" x14ac:dyDescent="0.25">
      <c r="B265" s="161" t="s">
        <v>53</v>
      </c>
      <c r="C265" s="52" t="s">
        <v>104</v>
      </c>
      <c r="D265" s="26"/>
      <c r="E265" s="27"/>
      <c r="F265" s="28"/>
      <c r="G265" s="28"/>
      <c r="H265" s="7"/>
    </row>
    <row r="266" spans="2:8" s="6" customFormat="1" ht="31.8" customHeight="1" x14ac:dyDescent="0.25">
      <c r="B266" s="160"/>
      <c r="C266" s="51" t="s">
        <v>245</v>
      </c>
      <c r="D266" s="26"/>
      <c r="E266" s="27"/>
      <c r="F266" s="28"/>
      <c r="G266" s="28"/>
      <c r="H266" s="7"/>
    </row>
    <row r="267" spans="2:8" s="6" customFormat="1" x14ac:dyDescent="0.25">
      <c r="B267" s="160"/>
      <c r="C267" s="51"/>
      <c r="D267" s="26"/>
      <c r="E267" s="27"/>
      <c r="F267" s="28"/>
      <c r="G267" s="28"/>
      <c r="H267" s="7"/>
    </row>
    <row r="268" spans="2:8" s="6" customFormat="1" x14ac:dyDescent="0.25">
      <c r="B268" s="160"/>
      <c r="C268" s="52" t="s">
        <v>35</v>
      </c>
      <c r="D268" s="26"/>
      <c r="E268" s="27"/>
      <c r="F268" s="28"/>
      <c r="G268" s="28"/>
      <c r="H268" s="7"/>
    </row>
    <row r="269" spans="2:8" s="6" customFormat="1" ht="39.6" x14ac:dyDescent="0.25">
      <c r="B269" s="160" t="s">
        <v>54</v>
      </c>
      <c r="C269" s="51" t="s">
        <v>227</v>
      </c>
      <c r="D269" s="26" t="s">
        <v>6</v>
      </c>
      <c r="E269" s="27">
        <v>13</v>
      </c>
      <c r="F269" s="93">
        <v>0</v>
      </c>
      <c r="G269" s="25">
        <f>F269*E269</f>
        <v>0</v>
      </c>
      <c r="H269" s="7"/>
    </row>
    <row r="270" spans="2:8" s="6" customFormat="1" x14ac:dyDescent="0.25">
      <c r="B270" s="160"/>
      <c r="C270" s="170"/>
      <c r="D270" s="26"/>
      <c r="E270" s="27"/>
      <c r="F270" s="25"/>
      <c r="G270" s="25"/>
      <c r="H270" s="7"/>
    </row>
    <row r="271" spans="2:8" s="6" customFormat="1" ht="26.4" x14ac:dyDescent="0.25">
      <c r="B271" s="160" t="s">
        <v>55</v>
      </c>
      <c r="C271" s="51" t="s">
        <v>228</v>
      </c>
      <c r="D271" s="26" t="s">
        <v>6</v>
      </c>
      <c r="E271" s="27">
        <v>1</v>
      </c>
      <c r="F271" s="93">
        <v>0</v>
      </c>
      <c r="G271" s="25">
        <f>F271*E271</f>
        <v>0</v>
      </c>
      <c r="H271" s="7"/>
    </row>
    <row r="272" spans="2:8" s="6" customFormat="1" x14ac:dyDescent="0.25">
      <c r="B272" s="160"/>
      <c r="C272" s="171"/>
      <c r="D272" s="26"/>
      <c r="E272" s="27"/>
      <c r="F272" s="93"/>
      <c r="G272" s="25"/>
      <c r="H272" s="7"/>
    </row>
    <row r="273" spans="1:8" s="6" customFormat="1" x14ac:dyDescent="0.25">
      <c r="B273" s="160" t="s">
        <v>56</v>
      </c>
      <c r="C273" s="51" t="s">
        <v>105</v>
      </c>
      <c r="D273" s="26" t="s">
        <v>6</v>
      </c>
      <c r="E273" s="27">
        <v>1</v>
      </c>
      <c r="F273" s="93">
        <v>0</v>
      </c>
      <c r="G273" s="25">
        <f>F273*E273</f>
        <v>0</v>
      </c>
      <c r="H273" s="7"/>
    </row>
    <row r="274" spans="1:8" s="6" customFormat="1" x14ac:dyDescent="0.25">
      <c r="B274" s="160"/>
      <c r="C274" s="171"/>
      <c r="D274" s="26"/>
      <c r="E274" s="27"/>
      <c r="F274" s="93"/>
      <c r="G274" s="25"/>
      <c r="H274" s="7"/>
    </row>
    <row r="275" spans="1:8" s="6" customFormat="1" x14ac:dyDescent="0.25">
      <c r="B275" s="160"/>
      <c r="C275" s="171"/>
      <c r="D275" s="26"/>
      <c r="E275" s="27"/>
      <c r="F275" s="93"/>
      <c r="G275" s="25"/>
      <c r="H275" s="7"/>
    </row>
    <row r="276" spans="1:8" s="6" customFormat="1" x14ac:dyDescent="0.25">
      <c r="B276" s="160"/>
      <c r="C276" s="171"/>
      <c r="D276" s="26"/>
      <c r="E276" s="27"/>
      <c r="F276" s="93"/>
      <c r="G276" s="25"/>
      <c r="H276" s="7"/>
    </row>
    <row r="277" spans="1:8" s="6" customFormat="1" x14ac:dyDescent="0.25">
      <c r="B277" s="160"/>
      <c r="C277" s="171"/>
      <c r="D277" s="26"/>
      <c r="E277" s="27"/>
      <c r="F277" s="93"/>
      <c r="G277" s="25"/>
      <c r="H277" s="7"/>
    </row>
    <row r="278" spans="1:8" s="6" customFormat="1" x14ac:dyDescent="0.25">
      <c r="B278" s="160"/>
      <c r="C278" s="170"/>
      <c r="D278" s="26"/>
      <c r="E278" s="27"/>
      <c r="F278" s="25"/>
      <c r="G278" s="25"/>
      <c r="H278" s="7"/>
    </row>
    <row r="279" spans="1:8" s="6" customFormat="1" x14ac:dyDescent="0.25">
      <c r="B279" s="209"/>
      <c r="C279" s="210"/>
      <c r="D279" s="210"/>
      <c r="E279" s="210"/>
      <c r="F279" s="211" t="s">
        <v>170</v>
      </c>
      <c r="G279" s="212">
        <f>SUM(G238:G278)</f>
        <v>0</v>
      </c>
      <c r="H279" s="7"/>
    </row>
    <row r="280" spans="1:8" x14ac:dyDescent="0.25">
      <c r="A280" s="73"/>
      <c r="B280" s="199"/>
      <c r="C280" s="200"/>
      <c r="D280" s="42"/>
      <c r="E280" s="42"/>
      <c r="F280" s="201"/>
      <c r="G280" s="43"/>
      <c r="H280" s="73"/>
    </row>
    <row r="281" spans="1:8" x14ac:dyDescent="0.25">
      <c r="A281" s="139"/>
      <c r="B281" s="213"/>
      <c r="C281" s="214"/>
      <c r="D281" s="213"/>
      <c r="E281" s="37"/>
      <c r="F281" s="215"/>
      <c r="G281" s="216"/>
      <c r="H281" s="139"/>
    </row>
    <row r="282" spans="1:8" x14ac:dyDescent="0.25">
      <c r="A282" s="202"/>
      <c r="B282" s="191" t="s">
        <v>1</v>
      </c>
      <c r="C282" s="192" t="s">
        <v>2</v>
      </c>
      <c r="D282" s="191" t="s">
        <v>3</v>
      </c>
      <c r="E282" s="191" t="s">
        <v>4</v>
      </c>
      <c r="F282" s="193" t="s">
        <v>8</v>
      </c>
      <c r="G282" s="193" t="s">
        <v>9</v>
      </c>
      <c r="H282" s="203"/>
    </row>
    <row r="283" spans="1:8" s="10" customFormat="1" ht="26.25" customHeight="1" x14ac:dyDescent="0.25">
      <c r="B283" s="217"/>
      <c r="C283" s="218"/>
      <c r="D283" s="218"/>
      <c r="E283" s="218"/>
      <c r="F283" s="219" t="s">
        <v>171</v>
      </c>
      <c r="G283" s="220">
        <f>G279</f>
        <v>0</v>
      </c>
      <c r="H283" s="4"/>
    </row>
    <row r="284" spans="1:8" s="74" customFormat="1" x14ac:dyDescent="0.25">
      <c r="A284" s="9"/>
      <c r="B284" s="160"/>
      <c r="C284" s="71"/>
      <c r="D284" s="26"/>
      <c r="E284" s="27"/>
      <c r="F284" s="29"/>
      <c r="G284" s="28"/>
      <c r="H284" s="9"/>
    </row>
    <row r="285" spans="1:8" s="65" customFormat="1" ht="33" customHeight="1" x14ac:dyDescent="0.25">
      <c r="A285" s="30"/>
      <c r="B285" s="160" t="s">
        <v>57</v>
      </c>
      <c r="C285" s="51" t="s">
        <v>339</v>
      </c>
      <c r="D285" s="26" t="s">
        <v>6</v>
      </c>
      <c r="E285" s="27">
        <v>3</v>
      </c>
      <c r="F285" s="93">
        <v>0</v>
      </c>
      <c r="G285" s="25">
        <f>F285*E285</f>
        <v>0</v>
      </c>
      <c r="H285" s="72"/>
    </row>
    <row r="286" spans="1:8" s="6" customFormat="1" x14ac:dyDescent="0.25">
      <c r="B286" s="160"/>
      <c r="C286" s="171"/>
      <c r="D286" s="26"/>
      <c r="E286" s="27"/>
      <c r="F286" s="25"/>
      <c r="G286" s="25"/>
      <c r="H286" s="7"/>
    </row>
    <row r="287" spans="1:8" s="6" customFormat="1" ht="26.4" x14ac:dyDescent="0.25">
      <c r="B287" s="160" t="s">
        <v>88</v>
      </c>
      <c r="C287" s="171" t="s">
        <v>246</v>
      </c>
      <c r="D287" s="26" t="s">
        <v>6</v>
      </c>
      <c r="E287" s="27">
        <v>2</v>
      </c>
      <c r="F287" s="93">
        <v>0</v>
      </c>
      <c r="G287" s="25">
        <f>F287*E287</f>
        <v>0</v>
      </c>
      <c r="H287" s="7"/>
    </row>
    <row r="288" spans="1:8" s="6" customFormat="1" x14ac:dyDescent="0.25">
      <c r="B288" s="160"/>
      <c r="C288" s="171"/>
      <c r="D288" s="26"/>
      <c r="E288" s="27"/>
      <c r="F288" s="25"/>
      <c r="G288" s="25"/>
      <c r="H288" s="7"/>
    </row>
    <row r="289" spans="2:8" s="6" customFormat="1" x14ac:dyDescent="0.25">
      <c r="B289" s="160" t="s">
        <v>89</v>
      </c>
      <c r="C289" s="171" t="s">
        <v>244</v>
      </c>
      <c r="D289" s="26" t="s">
        <v>6</v>
      </c>
      <c r="E289" s="27">
        <v>2</v>
      </c>
      <c r="F289" s="93">
        <v>0</v>
      </c>
      <c r="G289" s="25">
        <f>F289*E289</f>
        <v>0</v>
      </c>
      <c r="H289" s="7"/>
    </row>
    <row r="290" spans="2:8" s="6" customFormat="1" x14ac:dyDescent="0.25">
      <c r="B290" s="160"/>
      <c r="C290" s="171"/>
      <c r="D290" s="26"/>
      <c r="E290" s="27"/>
      <c r="F290" s="25"/>
      <c r="G290" s="25"/>
      <c r="H290" s="7"/>
    </row>
    <row r="291" spans="2:8" s="6" customFormat="1" x14ac:dyDescent="0.25">
      <c r="B291" s="160" t="s">
        <v>90</v>
      </c>
      <c r="C291" s="51" t="s">
        <v>146</v>
      </c>
      <c r="D291" s="26" t="s">
        <v>6</v>
      </c>
      <c r="E291" s="27">
        <v>4</v>
      </c>
      <c r="F291" s="93">
        <v>0</v>
      </c>
      <c r="G291" s="25">
        <f>F291*E291</f>
        <v>0</v>
      </c>
      <c r="H291" s="7"/>
    </row>
    <row r="292" spans="2:8" s="6" customFormat="1" x14ac:dyDescent="0.25">
      <c r="B292" s="160"/>
      <c r="C292" s="51"/>
      <c r="D292" s="26"/>
      <c r="E292" s="165"/>
      <c r="F292" s="93"/>
      <c r="G292" s="25"/>
      <c r="H292" s="7"/>
    </row>
    <row r="293" spans="2:8" s="6" customFormat="1" x14ac:dyDescent="0.25">
      <c r="B293" s="160"/>
      <c r="C293" s="52" t="s">
        <v>38</v>
      </c>
      <c r="D293" s="26"/>
      <c r="E293" s="163"/>
      <c r="F293" s="25"/>
      <c r="G293" s="25"/>
      <c r="H293" s="7"/>
    </row>
    <row r="294" spans="2:8" s="6" customFormat="1" ht="39.6" x14ac:dyDescent="0.25">
      <c r="B294" s="160" t="s">
        <v>91</v>
      </c>
      <c r="C294" s="63" t="str">
        <f>C269</f>
        <v>Double Switched Socket Outlet, 100 x 100 (4x4) 
1 x std old RSA SSO 164-1 &amp; 
1 x new std RSA SSO 164-2.</v>
      </c>
      <c r="D294" s="26" t="str">
        <f>D269</f>
        <v>No.</v>
      </c>
      <c r="E294" s="163">
        <f>E269</f>
        <v>13</v>
      </c>
      <c r="F294" s="93">
        <v>0</v>
      </c>
      <c r="G294" s="25">
        <f>F294*E294</f>
        <v>0</v>
      </c>
      <c r="H294" s="7"/>
    </row>
    <row r="295" spans="2:8" s="6" customFormat="1" x14ac:dyDescent="0.25">
      <c r="B295" s="160"/>
      <c r="C295" s="64"/>
      <c r="D295" s="26"/>
      <c r="E295" s="163"/>
      <c r="F295" s="25"/>
      <c r="G295" s="25"/>
      <c r="H295" s="7"/>
    </row>
    <row r="296" spans="2:8" s="6" customFormat="1" ht="29.4" customHeight="1" x14ac:dyDescent="0.25">
      <c r="B296" s="160" t="s">
        <v>92</v>
      </c>
      <c r="C296" s="63" t="str">
        <f>C271</f>
        <v>Double Switched Socket Outlet - 100x100, dedicated, shaved earth, red.</v>
      </c>
      <c r="D296" s="26" t="str">
        <f>D271</f>
        <v>No.</v>
      </c>
      <c r="E296" s="163">
        <f>E271</f>
        <v>1</v>
      </c>
      <c r="F296" s="93">
        <v>0</v>
      </c>
      <c r="G296" s="25">
        <f>F296*E296</f>
        <v>0</v>
      </c>
      <c r="H296" s="7"/>
    </row>
    <row r="297" spans="2:8" s="6" customFormat="1" x14ac:dyDescent="0.25">
      <c r="B297" s="160"/>
      <c r="C297" s="64"/>
      <c r="D297" s="26"/>
      <c r="E297" s="163"/>
      <c r="F297" s="25"/>
      <c r="G297" s="25"/>
      <c r="H297" s="7"/>
    </row>
    <row r="298" spans="2:8" s="6" customFormat="1" x14ac:dyDescent="0.25">
      <c r="B298" s="160" t="s">
        <v>93</v>
      </c>
      <c r="C298" s="63" t="str">
        <f>C273</f>
        <v>Single SSO - Weather proof - S15</v>
      </c>
      <c r="D298" s="26" t="str">
        <f>D273</f>
        <v>No.</v>
      </c>
      <c r="E298" s="163">
        <f>E273</f>
        <v>1</v>
      </c>
      <c r="F298" s="93">
        <v>0</v>
      </c>
      <c r="G298" s="25">
        <f t="shared" ref="G298" si="7">F298*E298</f>
        <v>0</v>
      </c>
      <c r="H298" s="7"/>
    </row>
    <row r="299" spans="2:8" s="6" customFormat="1" x14ac:dyDescent="0.25">
      <c r="B299" s="160"/>
      <c r="C299" s="64"/>
      <c r="D299" s="26"/>
      <c r="E299" s="163"/>
      <c r="F299" s="25"/>
      <c r="G299" s="25"/>
      <c r="H299" s="7"/>
    </row>
    <row r="300" spans="2:8" s="6" customFormat="1" ht="34.200000000000003" customHeight="1" x14ac:dyDescent="0.25">
      <c r="B300" s="160" t="s">
        <v>94</v>
      </c>
      <c r="C300" s="63" t="str">
        <f>C285</f>
        <v xml:space="preserve">Three Compartment Floor pop-up box complete equipped as per CP2
</v>
      </c>
      <c r="D300" s="26" t="str">
        <f>D285</f>
        <v>No.</v>
      </c>
      <c r="E300" s="163">
        <f>E285</f>
        <v>3</v>
      </c>
      <c r="F300" s="93">
        <v>0</v>
      </c>
      <c r="G300" s="25">
        <f t="shared" ref="G300" si="8">F300*E300</f>
        <v>0</v>
      </c>
      <c r="H300" s="7"/>
    </row>
    <row r="301" spans="2:8" s="6" customFormat="1" x14ac:dyDescent="0.25">
      <c r="B301" s="160"/>
      <c r="C301" s="64"/>
      <c r="D301" s="26"/>
      <c r="E301" s="163"/>
      <c r="F301" s="25"/>
      <c r="G301" s="25"/>
      <c r="H301" s="7"/>
    </row>
    <row r="302" spans="2:8" s="6" customFormat="1" ht="26.4" x14ac:dyDescent="0.25">
      <c r="B302" s="160" t="s">
        <v>95</v>
      </c>
      <c r="C302" s="63" t="str">
        <f>C287</f>
        <v xml:space="preserve">Double RJ45 outlet, 100x50, 
</v>
      </c>
      <c r="D302" s="26" t="str">
        <f>D287</f>
        <v>No.</v>
      </c>
      <c r="E302" s="163">
        <f>E287</f>
        <v>2</v>
      </c>
      <c r="F302" s="93">
        <v>0</v>
      </c>
      <c r="G302" s="25">
        <f t="shared" ref="G302" si="9">F302*E302</f>
        <v>0</v>
      </c>
      <c r="H302" s="7"/>
    </row>
    <row r="303" spans="2:8" s="6" customFormat="1" x14ac:dyDescent="0.25">
      <c r="B303" s="160" t="s">
        <v>102</v>
      </c>
      <c r="C303" s="63" t="str">
        <f>C289</f>
        <v xml:space="preserve">HDMI outlet, 100x50, </v>
      </c>
      <c r="D303" s="26" t="str">
        <f>D289</f>
        <v>No.</v>
      </c>
      <c r="E303" s="163">
        <f>E289</f>
        <v>2</v>
      </c>
      <c r="F303" s="93">
        <v>0</v>
      </c>
      <c r="G303" s="25">
        <f t="shared" ref="G303" si="10">F303*E303</f>
        <v>0</v>
      </c>
      <c r="H303" s="7"/>
    </row>
    <row r="304" spans="2:8" s="6" customFormat="1" x14ac:dyDescent="0.25">
      <c r="B304" s="160"/>
      <c r="C304" s="64"/>
      <c r="D304" s="26"/>
      <c r="E304" s="163"/>
      <c r="F304" s="25"/>
      <c r="G304" s="25"/>
      <c r="H304" s="7"/>
    </row>
    <row r="305" spans="1:8" s="6" customFormat="1" x14ac:dyDescent="0.25">
      <c r="B305" s="160" t="s">
        <v>103</v>
      </c>
      <c r="C305" s="63" t="str">
        <f>C291</f>
        <v>Blank 100x100 cover for mech wiring/controls</v>
      </c>
      <c r="D305" s="26" t="str">
        <f>D291</f>
        <v>No.</v>
      </c>
      <c r="E305" s="163">
        <f>E291</f>
        <v>4</v>
      </c>
      <c r="F305" s="93">
        <v>0</v>
      </c>
      <c r="G305" s="25">
        <f t="shared" ref="G305" si="11">F305*E305</f>
        <v>0</v>
      </c>
      <c r="H305" s="7"/>
    </row>
    <row r="306" spans="1:8" s="6" customFormat="1" x14ac:dyDescent="0.25">
      <c r="B306" s="160"/>
      <c r="C306" s="63"/>
      <c r="D306" s="26"/>
      <c r="E306" s="163"/>
      <c r="F306" s="93"/>
      <c r="G306" s="25"/>
      <c r="H306" s="7"/>
    </row>
    <row r="307" spans="1:8" s="74" customFormat="1" ht="21.75" customHeight="1" x14ac:dyDescent="0.25">
      <c r="A307" s="9"/>
      <c r="B307" s="172" t="s">
        <v>305</v>
      </c>
      <c r="C307" s="64" t="s">
        <v>121</v>
      </c>
      <c r="D307" s="32"/>
      <c r="E307" s="32"/>
      <c r="F307" s="33"/>
      <c r="G307" s="33"/>
      <c r="H307" s="9"/>
    </row>
    <row r="308" spans="1:8" s="6" customFormat="1" x14ac:dyDescent="0.25">
      <c r="B308" s="173"/>
      <c r="C308" s="64" t="s">
        <v>35</v>
      </c>
      <c r="D308" s="32"/>
      <c r="E308" s="32"/>
      <c r="F308" s="33"/>
      <c r="G308" s="33"/>
      <c r="H308" s="7"/>
    </row>
    <row r="309" spans="1:8" s="6" customFormat="1" ht="26.4" x14ac:dyDescent="0.25">
      <c r="B309" s="173" t="s">
        <v>106</v>
      </c>
      <c r="C309" s="63" t="s">
        <v>122</v>
      </c>
      <c r="D309" s="32" t="s">
        <v>6</v>
      </c>
      <c r="E309" s="32">
        <v>1</v>
      </c>
      <c r="F309" s="93">
        <v>0</v>
      </c>
      <c r="G309" s="25">
        <f>F309*E309</f>
        <v>0</v>
      </c>
      <c r="H309" s="7"/>
    </row>
    <row r="310" spans="1:8" s="6" customFormat="1" x14ac:dyDescent="0.25">
      <c r="B310" s="173"/>
      <c r="C310" s="174"/>
      <c r="D310" s="32"/>
      <c r="E310" s="32"/>
      <c r="F310" s="25"/>
      <c r="G310" s="25"/>
      <c r="H310" s="7"/>
    </row>
    <row r="311" spans="1:8" s="6" customFormat="1" ht="26.4" x14ac:dyDescent="0.25">
      <c r="B311" s="173" t="s">
        <v>107</v>
      </c>
      <c r="C311" s="63" t="s">
        <v>123</v>
      </c>
      <c r="D311" s="32" t="s">
        <v>6</v>
      </c>
      <c r="E311" s="32">
        <v>3</v>
      </c>
      <c r="F311" s="93">
        <v>0</v>
      </c>
      <c r="G311" s="25">
        <f>F311*E311</f>
        <v>0</v>
      </c>
      <c r="H311" s="7"/>
    </row>
    <row r="312" spans="1:8" s="6" customFormat="1" x14ac:dyDescent="0.25">
      <c r="B312" s="173"/>
      <c r="C312" s="63"/>
      <c r="D312" s="32"/>
      <c r="E312" s="32"/>
      <c r="F312" s="93"/>
      <c r="G312" s="25"/>
      <c r="H312" s="7"/>
    </row>
    <row r="313" spans="1:8" s="6" customFormat="1" ht="26.4" x14ac:dyDescent="0.25">
      <c r="B313" s="173" t="s">
        <v>108</v>
      </c>
      <c r="C313" s="63" t="s">
        <v>340</v>
      </c>
      <c r="D313" s="32" t="s">
        <v>6</v>
      </c>
      <c r="E313" s="32">
        <v>1</v>
      </c>
      <c r="F313" s="93">
        <v>0</v>
      </c>
      <c r="G313" s="25">
        <f>F313*E313</f>
        <v>0</v>
      </c>
      <c r="H313" s="7"/>
    </row>
    <row r="314" spans="1:8" s="6" customFormat="1" x14ac:dyDescent="0.25">
      <c r="B314" s="173"/>
      <c r="C314" s="64" t="s">
        <v>38</v>
      </c>
      <c r="D314" s="32"/>
      <c r="E314" s="32"/>
      <c r="F314" s="25"/>
      <c r="G314" s="33"/>
      <c r="H314" s="7"/>
    </row>
    <row r="315" spans="1:8" s="6" customFormat="1" ht="26.4" x14ac:dyDescent="0.25">
      <c r="B315" s="173" t="s">
        <v>109</v>
      </c>
      <c r="C315" s="63" t="str">
        <f>C309</f>
        <v>20 A  double pole isolator complete, flush or surface, 100x50.</v>
      </c>
      <c r="D315" s="32" t="s">
        <v>6</v>
      </c>
      <c r="E315" s="32">
        <f>E309</f>
        <v>1</v>
      </c>
      <c r="F315" s="93">
        <v>0</v>
      </c>
      <c r="G315" s="25">
        <f>F315*E315</f>
        <v>0</v>
      </c>
      <c r="H315" s="7"/>
    </row>
    <row r="316" spans="1:8" s="6" customFormat="1" x14ac:dyDescent="0.25">
      <c r="B316" s="173"/>
      <c r="C316" s="170"/>
      <c r="D316" s="32"/>
      <c r="E316" s="32"/>
      <c r="F316" s="25"/>
      <c r="G316" s="33"/>
      <c r="H316" s="7"/>
    </row>
    <row r="317" spans="1:8" s="6" customFormat="1" ht="26.4" x14ac:dyDescent="0.25">
      <c r="B317" s="173" t="s">
        <v>110</v>
      </c>
      <c r="C317" s="63" t="str">
        <f>C311</f>
        <v>Weather Proof, Surface 32A  double pole isolator complete.</v>
      </c>
      <c r="D317" s="32" t="s">
        <v>6</v>
      </c>
      <c r="E317" s="32">
        <f>E311</f>
        <v>3</v>
      </c>
      <c r="F317" s="93">
        <v>0</v>
      </c>
      <c r="G317" s="25">
        <f>F317*E317</f>
        <v>0</v>
      </c>
      <c r="H317" s="7"/>
    </row>
    <row r="318" spans="1:8" s="6" customFormat="1" x14ac:dyDescent="0.25">
      <c r="B318" s="173"/>
      <c r="C318" s="174"/>
      <c r="D318" s="32"/>
      <c r="E318" s="32"/>
      <c r="F318" s="93"/>
      <c r="G318" s="25"/>
      <c r="H318" s="7"/>
    </row>
    <row r="319" spans="1:8" s="6" customFormat="1" ht="26.4" x14ac:dyDescent="0.25">
      <c r="B319" s="173" t="s">
        <v>111</v>
      </c>
      <c r="C319" s="63" t="s">
        <v>243</v>
      </c>
      <c r="D319" s="32" t="s">
        <v>6</v>
      </c>
      <c r="E319" s="32">
        <v>4</v>
      </c>
      <c r="F319" s="93">
        <v>0</v>
      </c>
      <c r="G319" s="25">
        <f>F319*E319</f>
        <v>0</v>
      </c>
      <c r="H319" s="7"/>
    </row>
    <row r="320" spans="1:8" s="6" customFormat="1" x14ac:dyDescent="0.25">
      <c r="B320" s="173"/>
      <c r="C320" s="174"/>
      <c r="D320" s="32"/>
      <c r="E320" s="32"/>
      <c r="F320" s="93"/>
      <c r="G320" s="25"/>
      <c r="H320" s="7"/>
    </row>
    <row r="321" spans="1:8" s="6" customFormat="1" x14ac:dyDescent="0.25">
      <c r="B321" s="160"/>
      <c r="C321" s="170"/>
      <c r="D321" s="26"/>
      <c r="E321" s="27"/>
      <c r="F321" s="25"/>
      <c r="G321" s="25"/>
      <c r="H321" s="7"/>
    </row>
    <row r="322" spans="1:8" s="6" customFormat="1" x14ac:dyDescent="0.25">
      <c r="B322" s="209"/>
      <c r="C322" s="210"/>
      <c r="D322" s="210"/>
      <c r="E322" s="210"/>
      <c r="F322" s="211" t="s">
        <v>170</v>
      </c>
      <c r="G322" s="212">
        <f>SUM(G283:G321)</f>
        <v>0</v>
      </c>
      <c r="H322" s="7"/>
    </row>
    <row r="323" spans="1:8" x14ac:dyDescent="0.25">
      <c r="A323" s="73"/>
      <c r="B323" s="199"/>
      <c r="C323" s="200"/>
      <c r="D323" s="42"/>
      <c r="E323" s="42"/>
      <c r="F323" s="201"/>
      <c r="G323" s="43"/>
      <c r="H323" s="73"/>
    </row>
    <row r="324" spans="1:8" x14ac:dyDescent="0.25">
      <c r="A324" s="139"/>
      <c r="B324" s="213"/>
      <c r="C324" s="214"/>
      <c r="D324" s="213"/>
      <c r="E324" s="37"/>
      <c r="F324" s="215"/>
      <c r="G324" s="216"/>
      <c r="H324" s="139"/>
    </row>
    <row r="325" spans="1:8" x14ac:dyDescent="0.25">
      <c r="A325" s="202"/>
      <c r="B325" s="191" t="s">
        <v>1</v>
      </c>
      <c r="C325" s="192" t="s">
        <v>2</v>
      </c>
      <c r="D325" s="191" t="s">
        <v>3</v>
      </c>
      <c r="E325" s="191" t="s">
        <v>4</v>
      </c>
      <c r="F325" s="193" t="s">
        <v>8</v>
      </c>
      <c r="G325" s="193" t="s">
        <v>9</v>
      </c>
      <c r="H325" s="203"/>
    </row>
    <row r="326" spans="1:8" s="10" customFormat="1" ht="26.25" customHeight="1" x14ac:dyDescent="0.25">
      <c r="B326" s="217"/>
      <c r="C326" s="218"/>
      <c r="D326" s="218"/>
      <c r="E326" s="218"/>
      <c r="F326" s="219" t="s">
        <v>171</v>
      </c>
      <c r="G326" s="220">
        <f>G322</f>
        <v>0</v>
      </c>
      <c r="H326" s="4"/>
    </row>
    <row r="327" spans="1:8" s="74" customFormat="1" x14ac:dyDescent="0.25">
      <c r="A327" s="9"/>
      <c r="B327" s="160"/>
      <c r="C327" s="71"/>
      <c r="D327" s="26"/>
      <c r="E327" s="27"/>
      <c r="F327" s="29"/>
      <c r="G327" s="28"/>
      <c r="H327" s="9"/>
    </row>
    <row r="328" spans="1:8" s="6" customFormat="1" x14ac:dyDescent="0.25">
      <c r="B328" s="173"/>
      <c r="C328" s="63"/>
      <c r="D328" s="32"/>
      <c r="E328" s="163"/>
      <c r="F328" s="93"/>
      <c r="G328" s="25"/>
      <c r="H328" s="7"/>
    </row>
    <row r="329" spans="1:8" s="6" customFormat="1" x14ac:dyDescent="0.25">
      <c r="B329" s="175" t="s">
        <v>306</v>
      </c>
      <c r="C329" s="52" t="s">
        <v>47</v>
      </c>
      <c r="D329" s="26"/>
      <c r="E329" s="163"/>
      <c r="F329" s="25"/>
      <c r="G329" s="25"/>
      <c r="H329" s="7"/>
    </row>
    <row r="330" spans="1:8" s="6" customFormat="1" x14ac:dyDescent="0.25">
      <c r="B330" s="141"/>
      <c r="C330" s="64" t="s">
        <v>35</v>
      </c>
      <c r="D330" s="26"/>
      <c r="E330" s="163"/>
      <c r="F330" s="25"/>
      <c r="G330" s="25"/>
      <c r="H330" s="7"/>
    </row>
    <row r="331" spans="1:8" s="6" customFormat="1" ht="18.600000000000001" customHeight="1" x14ac:dyDescent="0.25">
      <c r="B331" s="173" t="s">
        <v>112</v>
      </c>
      <c r="C331" s="63" t="s">
        <v>231</v>
      </c>
      <c r="D331" s="32" t="s">
        <v>6</v>
      </c>
      <c r="E331" s="32">
        <v>8</v>
      </c>
      <c r="F331" s="93">
        <v>0</v>
      </c>
      <c r="G331" s="25">
        <f>F331*E331</f>
        <v>0</v>
      </c>
      <c r="H331" s="7"/>
    </row>
    <row r="332" spans="1:8" s="6" customFormat="1" x14ac:dyDescent="0.25">
      <c r="B332" s="173"/>
      <c r="C332" s="63"/>
      <c r="D332" s="32"/>
      <c r="E332" s="32"/>
      <c r="F332" s="29"/>
      <c r="G332" s="33"/>
      <c r="H332" s="7"/>
    </row>
    <row r="333" spans="1:8" s="6" customFormat="1" ht="26.4" x14ac:dyDescent="0.25">
      <c r="B333" s="173" t="s">
        <v>113</v>
      </c>
      <c r="C333" s="63" t="s">
        <v>232</v>
      </c>
      <c r="D333" s="32" t="s">
        <v>6</v>
      </c>
      <c r="E333" s="32">
        <v>2</v>
      </c>
      <c r="F333" s="93">
        <v>0</v>
      </c>
      <c r="G333" s="25">
        <f>F333*E333</f>
        <v>0</v>
      </c>
      <c r="H333" s="7"/>
    </row>
    <row r="334" spans="1:8" s="6" customFormat="1" ht="19.95" customHeight="1" x14ac:dyDescent="0.25">
      <c r="B334" s="173" t="s">
        <v>114</v>
      </c>
      <c r="C334" s="63" t="s">
        <v>233</v>
      </c>
      <c r="D334" s="32" t="s">
        <v>6</v>
      </c>
      <c r="E334" s="32">
        <v>1</v>
      </c>
      <c r="F334" s="93">
        <v>0</v>
      </c>
      <c r="G334" s="25">
        <f>F334*E334</f>
        <v>0</v>
      </c>
      <c r="H334" s="7"/>
    </row>
    <row r="335" spans="1:8" s="6" customFormat="1" x14ac:dyDescent="0.25">
      <c r="B335" s="173"/>
      <c r="C335" s="63"/>
      <c r="D335" s="32"/>
      <c r="E335" s="32"/>
      <c r="F335" s="93"/>
      <c r="G335" s="25"/>
      <c r="H335" s="7"/>
    </row>
    <row r="336" spans="1:8" s="6" customFormat="1" x14ac:dyDescent="0.25">
      <c r="B336" s="173" t="s">
        <v>115</v>
      </c>
      <c r="C336" s="63" t="s">
        <v>156</v>
      </c>
      <c r="D336" s="32" t="s">
        <v>6</v>
      </c>
      <c r="E336" s="32">
        <v>1</v>
      </c>
      <c r="F336" s="93">
        <v>0</v>
      </c>
      <c r="G336" s="25">
        <f>F336*E336</f>
        <v>0</v>
      </c>
      <c r="H336" s="7"/>
    </row>
    <row r="337" spans="1:8" s="6" customFormat="1" x14ac:dyDescent="0.25">
      <c r="B337" s="173"/>
      <c r="C337" s="63"/>
      <c r="D337" s="32"/>
      <c r="E337" s="32"/>
      <c r="F337" s="93"/>
      <c r="G337" s="25"/>
      <c r="H337" s="7"/>
    </row>
    <row r="338" spans="1:8" s="6" customFormat="1" ht="26.4" x14ac:dyDescent="0.25">
      <c r="B338" s="173" t="s">
        <v>229</v>
      </c>
      <c r="C338" s="63" t="s">
        <v>87</v>
      </c>
      <c r="D338" s="32" t="s">
        <v>6</v>
      </c>
      <c r="E338" s="32">
        <v>14</v>
      </c>
      <c r="F338" s="93">
        <v>0</v>
      </c>
      <c r="G338" s="25">
        <f>F338*E338</f>
        <v>0</v>
      </c>
      <c r="H338" s="7"/>
    </row>
    <row r="339" spans="1:8" s="6" customFormat="1" x14ac:dyDescent="0.25">
      <c r="B339" s="173"/>
      <c r="C339" s="63"/>
      <c r="D339" s="32"/>
      <c r="E339" s="32"/>
      <c r="F339" s="29"/>
      <c r="G339" s="25"/>
      <c r="H339" s="7"/>
    </row>
    <row r="340" spans="1:8" s="6" customFormat="1" x14ac:dyDescent="0.25">
      <c r="B340" s="173" t="s">
        <v>230</v>
      </c>
      <c r="C340" s="63" t="s">
        <v>158</v>
      </c>
      <c r="D340" s="26" t="s">
        <v>6</v>
      </c>
      <c r="E340" s="27">
        <v>2</v>
      </c>
      <c r="F340" s="25">
        <v>0</v>
      </c>
      <c r="G340" s="25">
        <f>F340*E340</f>
        <v>0</v>
      </c>
      <c r="H340" s="7"/>
    </row>
    <row r="341" spans="1:8" s="6" customFormat="1" x14ac:dyDescent="0.25">
      <c r="B341" s="173"/>
      <c r="C341" s="63"/>
      <c r="D341" s="26"/>
      <c r="E341" s="165"/>
      <c r="F341" s="25"/>
      <c r="G341" s="25"/>
      <c r="H341" s="7"/>
    </row>
    <row r="342" spans="1:8" s="6" customFormat="1" x14ac:dyDescent="0.25">
      <c r="B342" s="173"/>
      <c r="C342" s="64" t="s">
        <v>38</v>
      </c>
      <c r="D342" s="26"/>
      <c r="E342" s="163"/>
      <c r="F342" s="25"/>
      <c r="G342" s="25"/>
      <c r="H342" s="7"/>
    </row>
    <row r="343" spans="1:8" s="6" customFormat="1" ht="18" customHeight="1" x14ac:dyDescent="0.25">
      <c r="B343" s="173" t="s">
        <v>307</v>
      </c>
      <c r="C343" s="63" t="str">
        <f>C331</f>
        <v xml:space="preserve"> 16 A , 1-lever , 1-way - 50x100,
</v>
      </c>
      <c r="D343" s="26" t="s">
        <v>6</v>
      </c>
      <c r="E343" s="27">
        <f>E331</f>
        <v>8</v>
      </c>
      <c r="F343" s="25">
        <v>0</v>
      </c>
      <c r="G343" s="25">
        <f>F343*E343</f>
        <v>0</v>
      </c>
      <c r="H343" s="7"/>
    </row>
    <row r="344" spans="1:8" s="6" customFormat="1" x14ac:dyDescent="0.25">
      <c r="B344" s="173"/>
      <c r="C344" s="64"/>
      <c r="D344" s="26"/>
      <c r="E344" s="163"/>
      <c r="F344" s="25"/>
      <c r="G344" s="25"/>
      <c r="H344" s="7"/>
    </row>
    <row r="345" spans="1:8" s="6" customFormat="1" ht="26.4" x14ac:dyDescent="0.25">
      <c r="B345" s="173" t="s">
        <v>308</v>
      </c>
      <c r="C345" s="63" t="str">
        <f>C333</f>
        <v xml:space="preserve"> 16 A , 1-lever , 1x2-way - 50x100,
</v>
      </c>
      <c r="D345" s="26" t="s">
        <v>6</v>
      </c>
      <c r="E345" s="27">
        <f>E333</f>
        <v>2</v>
      </c>
      <c r="F345" s="25">
        <v>0</v>
      </c>
      <c r="G345" s="25">
        <f>F345*E345</f>
        <v>0</v>
      </c>
      <c r="H345" s="7"/>
    </row>
    <row r="346" spans="1:8" s="6" customFormat="1" ht="26.4" x14ac:dyDescent="0.25">
      <c r="B346" s="173" t="s">
        <v>309</v>
      </c>
      <c r="C346" s="63" t="str">
        <f>C334</f>
        <v xml:space="preserve"> 16 A , 1-lever and Rotary dimmer - Shuttle - 50x100,
</v>
      </c>
      <c r="D346" s="26" t="s">
        <v>6</v>
      </c>
      <c r="E346" s="27">
        <f>E334</f>
        <v>1</v>
      </c>
      <c r="F346" s="25">
        <v>0</v>
      </c>
      <c r="G346" s="25">
        <f t="shared" ref="G346" si="12">F346*E346</f>
        <v>0</v>
      </c>
      <c r="H346" s="7"/>
    </row>
    <row r="347" spans="1:8" s="65" customFormat="1" ht="20.100000000000001" customHeight="1" x14ac:dyDescent="0.25">
      <c r="A347" s="30"/>
      <c r="B347" s="173" t="s">
        <v>310</v>
      </c>
      <c r="C347" s="63" t="str">
        <f>C336</f>
        <v xml:space="preserve"> 16 A , 1-lever, 1x1way, Weatherproof - IP65</v>
      </c>
      <c r="D347" s="26" t="s">
        <v>6</v>
      </c>
      <c r="E347" s="27">
        <f>E336</f>
        <v>1</v>
      </c>
      <c r="F347" s="25">
        <v>0</v>
      </c>
      <c r="G347" s="25">
        <f t="shared" ref="G347" si="13">F347*E347</f>
        <v>0</v>
      </c>
      <c r="H347" s="72"/>
    </row>
    <row r="348" spans="1:8" s="6" customFormat="1" x14ac:dyDescent="0.25">
      <c r="B348" s="173"/>
      <c r="C348" s="63"/>
      <c r="D348" s="26"/>
      <c r="E348" s="165"/>
      <c r="F348" s="25"/>
      <c r="G348" s="25"/>
      <c r="H348" s="7"/>
    </row>
    <row r="349" spans="1:8" s="6" customFormat="1" ht="26.4" x14ac:dyDescent="0.25">
      <c r="B349" s="173" t="s">
        <v>311</v>
      </c>
      <c r="C349" s="63" t="str">
        <f>C338</f>
        <v>Recessed single-load 360deg PIR occupancy sensor.
Schneider Electric: SAE-UE-MS-CSBWE</v>
      </c>
      <c r="D349" s="26" t="s">
        <v>6</v>
      </c>
      <c r="E349" s="27">
        <f>E338</f>
        <v>14</v>
      </c>
      <c r="F349" s="25">
        <v>0</v>
      </c>
      <c r="G349" s="25">
        <f t="shared" ref="G349" si="14">F349*E349</f>
        <v>0</v>
      </c>
      <c r="H349" s="7"/>
    </row>
    <row r="350" spans="1:8" s="6" customFormat="1" x14ac:dyDescent="0.25">
      <c r="B350" s="173"/>
      <c r="C350" s="64"/>
      <c r="D350" s="26"/>
      <c r="E350" s="163"/>
      <c r="F350" s="25"/>
      <c r="G350" s="25"/>
      <c r="H350" s="7"/>
    </row>
    <row r="351" spans="1:8" s="6" customFormat="1" x14ac:dyDescent="0.25">
      <c r="B351" s="173" t="s">
        <v>312</v>
      </c>
      <c r="C351" s="63" t="str">
        <f>C340</f>
        <v>Photocell, 16A, Daylight Switch Spectrum 16A QS16</v>
      </c>
      <c r="D351" s="26" t="s">
        <v>6</v>
      </c>
      <c r="E351" s="27">
        <f>E340</f>
        <v>2</v>
      </c>
      <c r="F351" s="25">
        <v>0</v>
      </c>
      <c r="G351" s="25">
        <f t="shared" ref="G351" si="15">F351*E351</f>
        <v>0</v>
      </c>
      <c r="H351" s="7"/>
    </row>
    <row r="352" spans="1:8" s="6" customFormat="1" x14ac:dyDescent="0.25">
      <c r="B352" s="173"/>
      <c r="C352" s="63"/>
      <c r="D352" s="26"/>
      <c r="E352" s="165"/>
      <c r="F352" s="25"/>
      <c r="G352" s="25"/>
      <c r="H352" s="7"/>
    </row>
    <row r="353" spans="2:8" s="6" customFormat="1" x14ac:dyDescent="0.25">
      <c r="B353" s="161" t="s">
        <v>313</v>
      </c>
      <c r="C353" s="52" t="s">
        <v>116</v>
      </c>
      <c r="D353" s="26"/>
      <c r="E353" s="27"/>
      <c r="F353" s="31"/>
      <c r="G353" s="176"/>
      <c r="H353" s="7"/>
    </row>
    <row r="354" spans="2:8" s="6" customFormat="1" x14ac:dyDescent="0.25">
      <c r="B354" s="161"/>
      <c r="C354" s="52"/>
      <c r="D354" s="26"/>
      <c r="E354" s="27"/>
      <c r="F354" s="31"/>
      <c r="G354" s="176"/>
      <c r="H354" s="7"/>
    </row>
    <row r="355" spans="2:8" s="6" customFormat="1" x14ac:dyDescent="0.25">
      <c r="B355" s="160"/>
      <c r="C355" s="52" t="s">
        <v>117</v>
      </c>
      <c r="D355" s="26"/>
      <c r="E355" s="27"/>
      <c r="F355" s="31"/>
      <c r="G355" s="176"/>
      <c r="H355" s="7"/>
    </row>
    <row r="356" spans="2:8" s="6" customFormat="1" ht="26.4" x14ac:dyDescent="0.25">
      <c r="B356" s="160" t="s">
        <v>119</v>
      </c>
      <c r="C356" s="51" t="s">
        <v>118</v>
      </c>
      <c r="D356" s="26" t="s">
        <v>12</v>
      </c>
      <c r="E356" s="27">
        <f>E364+E366+E376+E378+E380+E382+E384+E388+E394</f>
        <v>100</v>
      </c>
      <c r="F356" s="93">
        <v>0</v>
      </c>
      <c r="G356" s="25">
        <f>F356*E356</f>
        <v>0</v>
      </c>
      <c r="H356" s="7"/>
    </row>
    <row r="357" spans="2:8" s="6" customFormat="1" x14ac:dyDescent="0.25">
      <c r="B357" s="160"/>
      <c r="C357" s="52" t="s">
        <v>36</v>
      </c>
      <c r="D357" s="26"/>
      <c r="E357" s="27"/>
      <c r="F357" s="31"/>
      <c r="G357" s="31"/>
      <c r="H357" s="7"/>
    </row>
    <row r="358" spans="2:8" s="6" customFormat="1" ht="26.4" x14ac:dyDescent="0.25">
      <c r="B358" s="160" t="s">
        <v>120</v>
      </c>
      <c r="C358" s="51" t="str">
        <f>C356</f>
        <v>5A 3pin socket outlet, unswitched, for power connection to luminaire, 60mm diameter.</v>
      </c>
      <c r="D358" s="26" t="s">
        <v>12</v>
      </c>
      <c r="E358" s="27">
        <v>0</v>
      </c>
      <c r="F358" s="93">
        <v>0</v>
      </c>
      <c r="G358" s="25">
        <f>F358*E358</f>
        <v>0</v>
      </c>
      <c r="H358" s="7"/>
    </row>
    <row r="359" spans="2:8" s="6" customFormat="1" x14ac:dyDescent="0.25">
      <c r="B359" s="160"/>
      <c r="C359" s="51"/>
      <c r="D359" s="26"/>
      <c r="E359" s="165"/>
      <c r="F359" s="93"/>
      <c r="G359" s="25"/>
      <c r="H359" s="7"/>
    </row>
    <row r="360" spans="2:8" s="6" customFormat="1" x14ac:dyDescent="0.25">
      <c r="B360" s="141" t="s">
        <v>314</v>
      </c>
      <c r="C360" s="52" t="s">
        <v>52</v>
      </c>
      <c r="D360" s="26"/>
      <c r="E360" s="163"/>
      <c r="F360" s="25"/>
      <c r="G360" s="25"/>
      <c r="H360" s="7"/>
    </row>
    <row r="361" spans="2:8" s="6" customFormat="1" ht="39.6" x14ac:dyDescent="0.25">
      <c r="B361" s="5"/>
      <c r="C361" s="51" t="s">
        <v>157</v>
      </c>
      <c r="D361" s="26"/>
      <c r="E361" s="163"/>
      <c r="F361" s="25"/>
      <c r="G361" s="25"/>
      <c r="H361" s="7"/>
    </row>
    <row r="362" spans="2:8" s="6" customFormat="1" x14ac:dyDescent="0.25">
      <c r="B362" s="5"/>
      <c r="C362" s="51"/>
      <c r="D362" s="26"/>
      <c r="E362" s="163"/>
      <c r="F362" s="25"/>
      <c r="G362" s="25"/>
      <c r="H362" s="7"/>
    </row>
    <row r="363" spans="2:8" s="6" customFormat="1" x14ac:dyDescent="0.25">
      <c r="B363" s="5"/>
      <c r="C363" s="52" t="s">
        <v>35</v>
      </c>
      <c r="D363" s="26"/>
      <c r="E363" s="163"/>
      <c r="F363" s="25"/>
      <c r="G363" s="25"/>
      <c r="H363" s="7"/>
    </row>
    <row r="364" spans="2:8" s="6" customFormat="1" x14ac:dyDescent="0.25">
      <c r="B364" s="5" t="s">
        <v>124</v>
      </c>
      <c r="C364" s="84" t="s">
        <v>194</v>
      </c>
      <c r="D364" s="94" t="s">
        <v>12</v>
      </c>
      <c r="E364" s="97">
        <v>41</v>
      </c>
      <c r="F364" s="93">
        <v>0</v>
      </c>
      <c r="G364" s="93">
        <f>F364*E364</f>
        <v>0</v>
      </c>
      <c r="H364" s="7"/>
    </row>
    <row r="365" spans="2:8" s="6" customFormat="1" x14ac:dyDescent="0.25">
      <c r="B365" s="5"/>
      <c r="C365" s="85"/>
      <c r="D365" s="5"/>
      <c r="E365" s="5"/>
      <c r="F365" s="14"/>
      <c r="G365" s="14"/>
      <c r="H365" s="7"/>
    </row>
    <row r="366" spans="2:8" s="6" customFormat="1" x14ac:dyDescent="0.25">
      <c r="B366" s="5" t="s">
        <v>125</v>
      </c>
      <c r="C366" s="84" t="s">
        <v>195</v>
      </c>
      <c r="D366" s="94" t="s">
        <v>12</v>
      </c>
      <c r="E366" s="97">
        <v>16</v>
      </c>
      <c r="F366" s="93">
        <v>0</v>
      </c>
      <c r="G366" s="93">
        <f>F366*E366</f>
        <v>0</v>
      </c>
      <c r="H366" s="7"/>
    </row>
    <row r="367" spans="2:8" s="6" customFormat="1" x14ac:dyDescent="0.25">
      <c r="B367" s="155"/>
      <c r="C367" s="84"/>
      <c r="D367" s="94"/>
      <c r="E367" s="97"/>
      <c r="F367" s="93"/>
      <c r="G367" s="93"/>
      <c r="H367" s="7"/>
    </row>
    <row r="368" spans="2:8" s="6" customFormat="1" x14ac:dyDescent="0.25">
      <c r="B368" s="155"/>
      <c r="C368" s="223"/>
      <c r="D368" s="224"/>
      <c r="E368" s="225"/>
      <c r="F368" s="226"/>
      <c r="G368" s="93"/>
      <c r="H368" s="7"/>
    </row>
    <row r="369" spans="1:8" s="6" customFormat="1" x14ac:dyDescent="0.25">
      <c r="B369" s="209"/>
      <c r="C369" s="210"/>
      <c r="D369" s="210"/>
      <c r="E369" s="210"/>
      <c r="F369" s="211" t="s">
        <v>170</v>
      </c>
      <c r="G369" s="212">
        <f>SUM(G326:G368)</f>
        <v>0</v>
      </c>
      <c r="H369" s="7"/>
    </row>
    <row r="370" spans="1:8" x14ac:dyDescent="0.25">
      <c r="A370" s="73"/>
      <c r="B370" s="199"/>
      <c r="C370" s="200"/>
      <c r="D370" s="42"/>
      <c r="E370" s="42"/>
      <c r="F370" s="201"/>
      <c r="G370" s="43"/>
      <c r="H370" s="73"/>
    </row>
    <row r="371" spans="1:8" x14ac:dyDescent="0.25">
      <c r="A371" s="139"/>
      <c r="B371" s="213"/>
      <c r="C371" s="214"/>
      <c r="D371" s="213"/>
      <c r="E371" s="37"/>
      <c r="F371" s="215"/>
      <c r="G371" s="216"/>
      <c r="H371" s="139"/>
    </row>
    <row r="372" spans="1:8" x14ac:dyDescent="0.25">
      <c r="A372" s="202"/>
      <c r="B372" s="191" t="s">
        <v>1</v>
      </c>
      <c r="C372" s="192" t="s">
        <v>2</v>
      </c>
      <c r="D372" s="191" t="s">
        <v>3</v>
      </c>
      <c r="E372" s="191" t="s">
        <v>4</v>
      </c>
      <c r="F372" s="193" t="s">
        <v>8</v>
      </c>
      <c r="G372" s="193" t="s">
        <v>9</v>
      </c>
      <c r="H372" s="203"/>
    </row>
    <row r="373" spans="1:8" s="10" customFormat="1" ht="26.25" customHeight="1" x14ac:dyDescent="0.25">
      <c r="B373" s="217"/>
      <c r="C373" s="218"/>
      <c r="D373" s="218"/>
      <c r="E373" s="218"/>
      <c r="F373" s="219" t="s">
        <v>171</v>
      </c>
      <c r="G373" s="220">
        <f>G369</f>
        <v>0</v>
      </c>
      <c r="H373" s="4"/>
    </row>
    <row r="374" spans="1:8" s="74" customFormat="1" x14ac:dyDescent="0.25">
      <c r="A374" s="9"/>
      <c r="B374" s="160"/>
      <c r="C374" s="71"/>
      <c r="D374" s="26"/>
      <c r="E374" s="27"/>
      <c r="F374" s="29"/>
      <c r="G374" s="28"/>
      <c r="H374" s="9"/>
    </row>
    <row r="375" spans="1:8" s="6" customFormat="1" x14ac:dyDescent="0.25">
      <c r="B375" s="5"/>
      <c r="C375" s="84"/>
      <c r="D375" s="5"/>
      <c r="E375" s="5"/>
      <c r="F375" s="14"/>
      <c r="G375" s="14"/>
      <c r="H375" s="7"/>
    </row>
    <row r="376" spans="1:8" s="6" customFormat="1" x14ac:dyDescent="0.25">
      <c r="B376" s="5" t="s">
        <v>315</v>
      </c>
      <c r="C376" s="84" t="s">
        <v>280</v>
      </c>
      <c r="D376" s="94" t="s">
        <v>12</v>
      </c>
      <c r="E376" s="97">
        <v>1</v>
      </c>
      <c r="F376" s="93">
        <v>0</v>
      </c>
      <c r="G376" s="93">
        <f>F376*E376</f>
        <v>0</v>
      </c>
      <c r="H376" s="7"/>
    </row>
    <row r="377" spans="1:8" s="6" customFormat="1" x14ac:dyDescent="0.25">
      <c r="B377" s="5"/>
      <c r="C377" s="85"/>
      <c r="D377" s="5"/>
      <c r="E377" s="5"/>
      <c r="F377" s="14"/>
      <c r="G377" s="14"/>
      <c r="H377" s="7"/>
    </row>
    <row r="378" spans="1:8" s="6" customFormat="1" x14ac:dyDescent="0.25">
      <c r="B378" s="5" t="s">
        <v>316</v>
      </c>
      <c r="C378" s="84" t="s">
        <v>281</v>
      </c>
      <c r="D378" s="94" t="s">
        <v>12</v>
      </c>
      <c r="E378" s="97">
        <v>1</v>
      </c>
      <c r="F378" s="93">
        <v>0</v>
      </c>
      <c r="G378" s="93">
        <f>F378*E378</f>
        <v>0</v>
      </c>
      <c r="H378" s="7"/>
    </row>
    <row r="379" spans="1:8" s="6" customFormat="1" x14ac:dyDescent="0.25">
      <c r="B379" s="5"/>
      <c r="C379" s="85"/>
      <c r="D379" s="5"/>
      <c r="E379" s="5"/>
      <c r="F379" s="14"/>
      <c r="G379" s="14"/>
      <c r="H379" s="7"/>
    </row>
    <row r="380" spans="1:8" s="6" customFormat="1" x14ac:dyDescent="0.25">
      <c r="B380" s="5" t="s">
        <v>317</v>
      </c>
      <c r="C380" s="84" t="s">
        <v>282</v>
      </c>
      <c r="D380" s="94" t="s">
        <v>12</v>
      </c>
      <c r="E380" s="97">
        <v>1</v>
      </c>
      <c r="F380" s="93">
        <v>0</v>
      </c>
      <c r="G380" s="93">
        <f>F380*E380</f>
        <v>0</v>
      </c>
      <c r="H380" s="7"/>
    </row>
    <row r="381" spans="1:8" s="6" customFormat="1" x14ac:dyDescent="0.25">
      <c r="B381" s="5"/>
      <c r="C381" s="85"/>
      <c r="D381" s="5"/>
      <c r="E381" s="5"/>
      <c r="F381" s="14"/>
      <c r="G381" s="14"/>
      <c r="H381" s="7"/>
    </row>
    <row r="382" spans="1:8" s="6" customFormat="1" x14ac:dyDescent="0.25">
      <c r="B382" s="5" t="s">
        <v>318</v>
      </c>
      <c r="C382" s="84" t="s">
        <v>283</v>
      </c>
      <c r="D382" s="94" t="s">
        <v>12</v>
      </c>
      <c r="E382" s="97">
        <v>1</v>
      </c>
      <c r="F382" s="93">
        <v>0</v>
      </c>
      <c r="G382" s="93">
        <f>F382*E382</f>
        <v>0</v>
      </c>
      <c r="H382" s="7"/>
    </row>
    <row r="383" spans="1:8" s="6" customFormat="1" x14ac:dyDescent="0.25">
      <c r="B383" s="5"/>
      <c r="C383" s="85"/>
      <c r="D383" s="5"/>
      <c r="E383" s="5"/>
      <c r="F383" s="14"/>
      <c r="G383" s="14"/>
      <c r="H383" s="7"/>
    </row>
    <row r="384" spans="1:8" s="6" customFormat="1" x14ac:dyDescent="0.25">
      <c r="B384" s="5" t="s">
        <v>319</v>
      </c>
      <c r="C384" s="84" t="s">
        <v>198</v>
      </c>
      <c r="D384" s="94" t="s">
        <v>12</v>
      </c>
      <c r="E384" s="97">
        <v>34</v>
      </c>
      <c r="F384" s="93">
        <v>0</v>
      </c>
      <c r="G384" s="93">
        <f>F384*E384</f>
        <v>0</v>
      </c>
      <c r="H384" s="7"/>
    </row>
    <row r="385" spans="2:8" s="6" customFormat="1" x14ac:dyDescent="0.25">
      <c r="B385" s="5"/>
      <c r="C385" s="84"/>
      <c r="D385" s="94"/>
      <c r="E385" s="97"/>
      <c r="F385" s="93"/>
      <c r="G385" s="93"/>
      <c r="H385" s="7"/>
    </row>
    <row r="386" spans="2:8" s="6" customFormat="1" x14ac:dyDescent="0.25">
      <c r="B386" s="5" t="s">
        <v>320</v>
      </c>
      <c r="C386" s="84" t="s">
        <v>197</v>
      </c>
      <c r="D386" s="94" t="s">
        <v>12</v>
      </c>
      <c r="E386" s="97">
        <v>2</v>
      </c>
      <c r="F386" s="93">
        <v>0</v>
      </c>
      <c r="G386" s="93">
        <f>F386*E386</f>
        <v>0</v>
      </c>
      <c r="H386" s="7"/>
    </row>
    <row r="387" spans="2:8" s="6" customFormat="1" x14ac:dyDescent="0.25">
      <c r="B387" s="5"/>
      <c r="C387" s="84"/>
      <c r="D387" s="94"/>
      <c r="E387" s="5"/>
      <c r="F387" s="93"/>
      <c r="G387" s="93"/>
      <c r="H387" s="7"/>
    </row>
    <row r="388" spans="2:8" s="6" customFormat="1" x14ac:dyDescent="0.25">
      <c r="B388" s="5" t="s">
        <v>321</v>
      </c>
      <c r="C388" s="84" t="s">
        <v>196</v>
      </c>
      <c r="D388" s="94" t="s">
        <v>12</v>
      </c>
      <c r="E388" s="97">
        <v>1</v>
      </c>
      <c r="F388" s="93">
        <v>0</v>
      </c>
      <c r="G388" s="93">
        <f>F388*E388</f>
        <v>0</v>
      </c>
      <c r="H388" s="7"/>
    </row>
    <row r="389" spans="2:8" s="6" customFormat="1" x14ac:dyDescent="0.25">
      <c r="B389" s="5"/>
      <c r="C389" s="84"/>
      <c r="D389" s="94"/>
      <c r="E389" s="97"/>
      <c r="F389" s="93"/>
      <c r="G389" s="93"/>
      <c r="H389" s="7"/>
    </row>
    <row r="390" spans="2:8" s="6" customFormat="1" x14ac:dyDescent="0.25">
      <c r="B390" s="5" t="s">
        <v>322</v>
      </c>
      <c r="C390" s="84" t="s">
        <v>199</v>
      </c>
      <c r="D390" s="94" t="s">
        <v>12</v>
      </c>
      <c r="E390" s="97">
        <v>5</v>
      </c>
      <c r="F390" s="93">
        <v>0</v>
      </c>
      <c r="G390" s="93">
        <f t="shared" ref="G390" si="16">F390*E390</f>
        <v>0</v>
      </c>
      <c r="H390" s="7"/>
    </row>
    <row r="391" spans="2:8" s="6" customFormat="1" x14ac:dyDescent="0.25">
      <c r="B391" s="5"/>
      <c r="C391" s="84"/>
      <c r="D391" s="94"/>
      <c r="E391" s="5"/>
      <c r="F391" s="93"/>
      <c r="G391" s="93"/>
      <c r="H391" s="7"/>
    </row>
    <row r="392" spans="2:8" s="6" customFormat="1" x14ac:dyDescent="0.25">
      <c r="B392" s="5" t="s">
        <v>323</v>
      </c>
      <c r="C392" s="84" t="s">
        <v>200</v>
      </c>
      <c r="D392" s="94" t="s">
        <v>12</v>
      </c>
      <c r="E392" s="97">
        <v>2</v>
      </c>
      <c r="F392" s="93">
        <v>0</v>
      </c>
      <c r="G392" s="93">
        <f t="shared" ref="G392" si="17">F392*E392</f>
        <v>0</v>
      </c>
      <c r="H392" s="7"/>
    </row>
    <row r="393" spans="2:8" s="6" customFormat="1" x14ac:dyDescent="0.25">
      <c r="B393" s="5"/>
      <c r="C393" s="84"/>
      <c r="D393" s="94"/>
      <c r="E393" s="5"/>
      <c r="F393" s="93"/>
      <c r="G393" s="93"/>
      <c r="H393" s="7"/>
    </row>
    <row r="394" spans="2:8" s="6" customFormat="1" x14ac:dyDescent="0.25">
      <c r="B394" s="5" t="s">
        <v>324</v>
      </c>
      <c r="C394" s="84" t="s">
        <v>284</v>
      </c>
      <c r="D394" s="94" t="s">
        <v>12</v>
      </c>
      <c r="E394" s="97">
        <v>4</v>
      </c>
      <c r="F394" s="93">
        <v>0</v>
      </c>
      <c r="G394" s="93">
        <f t="shared" ref="G394" si="18">F394*E394</f>
        <v>0</v>
      </c>
      <c r="H394" s="7"/>
    </row>
    <row r="395" spans="2:8" s="6" customFormat="1" x14ac:dyDescent="0.25">
      <c r="B395" s="5"/>
      <c r="C395" s="84"/>
      <c r="D395" s="94"/>
      <c r="E395" s="177"/>
      <c r="F395" s="93"/>
      <c r="G395" s="93"/>
      <c r="H395" s="7"/>
    </row>
    <row r="396" spans="2:8" s="6" customFormat="1" x14ac:dyDescent="0.25">
      <c r="B396" s="5"/>
      <c r="C396" s="52" t="s">
        <v>38</v>
      </c>
      <c r="D396" s="26"/>
      <c r="E396" s="163"/>
      <c r="F396" s="25"/>
      <c r="G396" s="25"/>
      <c r="H396" s="7"/>
    </row>
    <row r="397" spans="2:8" s="6" customFormat="1" x14ac:dyDescent="0.25">
      <c r="B397" s="5" t="s">
        <v>325</v>
      </c>
      <c r="C397" s="84" t="str">
        <f>C364</f>
        <v>Type A Light Fitting</v>
      </c>
      <c r="D397" s="94" t="s">
        <v>12</v>
      </c>
      <c r="E397" s="97">
        <f>E364</f>
        <v>41</v>
      </c>
      <c r="F397" s="93">
        <v>0</v>
      </c>
      <c r="G397" s="93">
        <f>F397*E397</f>
        <v>0</v>
      </c>
      <c r="H397" s="7"/>
    </row>
    <row r="398" spans="2:8" s="6" customFormat="1" x14ac:dyDescent="0.25">
      <c r="B398" s="5"/>
      <c r="C398" s="85"/>
      <c r="D398" s="5"/>
      <c r="E398" s="5"/>
      <c r="F398" s="14"/>
      <c r="G398" s="14"/>
      <c r="H398" s="7"/>
    </row>
    <row r="399" spans="2:8" s="6" customFormat="1" x14ac:dyDescent="0.25">
      <c r="B399" s="5" t="s">
        <v>326</v>
      </c>
      <c r="C399" s="84" t="str">
        <f>C366</f>
        <v>Type B Light Fitting</v>
      </c>
      <c r="D399" s="94" t="s">
        <v>12</v>
      </c>
      <c r="E399" s="97">
        <f>E366</f>
        <v>16</v>
      </c>
      <c r="F399" s="93">
        <v>0</v>
      </c>
      <c r="G399" s="93">
        <f>F399*E399</f>
        <v>0</v>
      </c>
      <c r="H399" s="7"/>
    </row>
    <row r="400" spans="2:8" s="6" customFormat="1" x14ac:dyDescent="0.25">
      <c r="B400" s="5"/>
      <c r="C400" s="84"/>
      <c r="D400" s="94"/>
      <c r="E400" s="97"/>
      <c r="F400" s="93"/>
      <c r="G400" s="93"/>
      <c r="H400" s="7"/>
    </row>
    <row r="401" spans="2:8" s="6" customFormat="1" x14ac:dyDescent="0.25">
      <c r="B401" s="5" t="s">
        <v>327</v>
      </c>
      <c r="C401" s="84" t="str">
        <f>C376</f>
        <v>Type C1 Light Fitting</v>
      </c>
      <c r="D401" s="94" t="s">
        <v>12</v>
      </c>
      <c r="E401" s="97">
        <f>E376</f>
        <v>1</v>
      </c>
      <c r="F401" s="93">
        <v>0</v>
      </c>
      <c r="G401" s="93">
        <f>F401*E401</f>
        <v>0</v>
      </c>
      <c r="H401" s="7"/>
    </row>
    <row r="402" spans="2:8" s="6" customFormat="1" x14ac:dyDescent="0.25">
      <c r="B402" s="5"/>
      <c r="C402" s="85"/>
      <c r="D402" s="5"/>
      <c r="E402" s="5"/>
      <c r="F402" s="14"/>
      <c r="G402" s="14"/>
      <c r="H402" s="7"/>
    </row>
    <row r="403" spans="2:8" s="6" customFormat="1" x14ac:dyDescent="0.25">
      <c r="B403" s="5" t="s">
        <v>328</v>
      </c>
      <c r="C403" s="84" t="str">
        <f>C378</f>
        <v>Type C2 Light Fitting</v>
      </c>
      <c r="D403" s="94" t="s">
        <v>12</v>
      </c>
      <c r="E403" s="97">
        <f>E378</f>
        <v>1</v>
      </c>
      <c r="F403" s="93">
        <v>0</v>
      </c>
      <c r="G403" s="93">
        <f>F403*E403</f>
        <v>0</v>
      </c>
      <c r="H403" s="7"/>
    </row>
    <row r="404" spans="2:8" s="6" customFormat="1" x14ac:dyDescent="0.25">
      <c r="B404" s="5"/>
      <c r="C404" s="84"/>
      <c r="D404" s="5"/>
      <c r="E404" s="5"/>
      <c r="F404" s="93"/>
      <c r="G404" s="93"/>
      <c r="H404" s="7"/>
    </row>
    <row r="405" spans="2:8" s="6" customFormat="1" x14ac:dyDescent="0.25">
      <c r="B405" s="5" t="s">
        <v>329</v>
      </c>
      <c r="C405" s="84" t="str">
        <f>C380</f>
        <v>Type C3 Light Fitting</v>
      </c>
      <c r="D405" s="94" t="s">
        <v>12</v>
      </c>
      <c r="E405" s="97">
        <f>E380</f>
        <v>1</v>
      </c>
      <c r="F405" s="93">
        <v>0</v>
      </c>
      <c r="G405" s="93">
        <f>F405*E405</f>
        <v>0</v>
      </c>
      <c r="H405" s="7"/>
    </row>
    <row r="406" spans="2:8" s="6" customFormat="1" x14ac:dyDescent="0.25">
      <c r="B406" s="5"/>
      <c r="C406" s="85"/>
      <c r="D406" s="5"/>
      <c r="E406" s="5"/>
      <c r="F406" s="93"/>
      <c r="G406" s="93"/>
      <c r="H406" s="7"/>
    </row>
    <row r="407" spans="2:8" s="6" customFormat="1" x14ac:dyDescent="0.25">
      <c r="B407" s="5" t="s">
        <v>330</v>
      </c>
      <c r="C407" s="84" t="str">
        <f>C382</f>
        <v>Type C4 Light Fitting</v>
      </c>
      <c r="D407" s="94" t="s">
        <v>12</v>
      </c>
      <c r="E407" s="97">
        <f>E382</f>
        <v>1</v>
      </c>
      <c r="F407" s="93">
        <v>0</v>
      </c>
      <c r="G407" s="93">
        <f>F407*E407</f>
        <v>0</v>
      </c>
      <c r="H407" s="7"/>
    </row>
    <row r="408" spans="2:8" s="6" customFormat="1" x14ac:dyDescent="0.25">
      <c r="B408" s="5"/>
      <c r="C408" s="84"/>
      <c r="D408" s="5"/>
      <c r="E408" s="5"/>
      <c r="F408" s="93"/>
      <c r="G408" s="93"/>
      <c r="H408" s="7"/>
    </row>
    <row r="409" spans="2:8" s="6" customFormat="1" x14ac:dyDescent="0.25">
      <c r="B409" s="5" t="s">
        <v>331</v>
      </c>
      <c r="C409" s="84" t="str">
        <f>C384</f>
        <v>Type D Light Fitting</v>
      </c>
      <c r="D409" s="94" t="s">
        <v>12</v>
      </c>
      <c r="E409" s="97">
        <f>E384</f>
        <v>34</v>
      </c>
      <c r="F409" s="93">
        <v>0</v>
      </c>
      <c r="G409" s="93">
        <f t="shared" ref="G409" si="19">F409*E409</f>
        <v>0</v>
      </c>
      <c r="H409" s="7"/>
    </row>
    <row r="410" spans="2:8" s="6" customFormat="1" x14ac:dyDescent="0.25">
      <c r="B410" s="5"/>
      <c r="C410" s="85"/>
      <c r="D410" s="5"/>
      <c r="E410" s="5"/>
      <c r="F410" s="93"/>
      <c r="G410" s="93"/>
      <c r="H410" s="7"/>
    </row>
    <row r="411" spans="2:8" s="6" customFormat="1" x14ac:dyDescent="0.25">
      <c r="B411" s="5" t="s">
        <v>332</v>
      </c>
      <c r="C411" s="84" t="str">
        <f>C386</f>
        <v>Type E Light Fitting</v>
      </c>
      <c r="D411" s="94" t="s">
        <v>12</v>
      </c>
      <c r="E411" s="97">
        <f>E386</f>
        <v>2</v>
      </c>
      <c r="F411" s="93">
        <v>0</v>
      </c>
      <c r="G411" s="93">
        <f t="shared" ref="G411" si="20">F411*E411</f>
        <v>0</v>
      </c>
      <c r="H411" s="7"/>
    </row>
    <row r="412" spans="2:8" s="6" customFormat="1" x14ac:dyDescent="0.25">
      <c r="B412" s="5"/>
      <c r="C412" s="84"/>
      <c r="D412" s="5"/>
      <c r="E412" s="5"/>
      <c r="F412" s="93"/>
      <c r="G412" s="93"/>
      <c r="H412" s="7"/>
    </row>
    <row r="413" spans="2:8" s="6" customFormat="1" x14ac:dyDescent="0.25">
      <c r="B413" s="5" t="s">
        <v>333</v>
      </c>
      <c r="C413" s="84" t="str">
        <f>C388</f>
        <v>Type F Light Fitting</v>
      </c>
      <c r="D413" s="94" t="s">
        <v>12</v>
      </c>
      <c r="E413" s="97">
        <f>E388</f>
        <v>1</v>
      </c>
      <c r="F413" s="93">
        <v>0</v>
      </c>
      <c r="G413" s="93">
        <f t="shared" ref="G413" si="21">F413*E413</f>
        <v>0</v>
      </c>
      <c r="H413" s="7"/>
    </row>
    <row r="414" spans="2:8" s="6" customFormat="1" x14ac:dyDescent="0.25">
      <c r="B414" s="5"/>
      <c r="C414" s="84"/>
      <c r="D414" s="94"/>
      <c r="E414" s="97"/>
      <c r="F414" s="93"/>
      <c r="G414" s="93"/>
      <c r="H414" s="7"/>
    </row>
    <row r="415" spans="2:8" s="6" customFormat="1" x14ac:dyDescent="0.25">
      <c r="B415" s="5" t="s">
        <v>334</v>
      </c>
      <c r="C415" s="84" t="str">
        <f>C390</f>
        <v>Type G Light Fitting</v>
      </c>
      <c r="D415" s="94" t="s">
        <v>12</v>
      </c>
      <c r="E415" s="97">
        <f>E390</f>
        <v>5</v>
      </c>
      <c r="F415" s="93">
        <v>0</v>
      </c>
      <c r="G415" s="93">
        <f t="shared" ref="G415" si="22">F415*E415</f>
        <v>0</v>
      </c>
      <c r="H415" s="7"/>
    </row>
    <row r="416" spans="2:8" s="6" customFormat="1" x14ac:dyDescent="0.25">
      <c r="B416" s="5"/>
      <c r="C416" s="84"/>
      <c r="D416" s="5"/>
      <c r="E416" s="5"/>
      <c r="F416" s="93"/>
      <c r="G416" s="93"/>
      <c r="H416" s="7"/>
    </row>
    <row r="417" spans="1:8" s="6" customFormat="1" x14ac:dyDescent="0.25">
      <c r="B417" s="5" t="s">
        <v>335</v>
      </c>
      <c r="C417" s="84" t="str">
        <f>C392</f>
        <v>Type H Light Fitting</v>
      </c>
      <c r="D417" s="94" t="s">
        <v>12</v>
      </c>
      <c r="E417" s="97">
        <f>E392</f>
        <v>2</v>
      </c>
      <c r="F417" s="93">
        <v>0</v>
      </c>
      <c r="G417" s="93">
        <f t="shared" ref="G417" si="23">F417*E417</f>
        <v>0</v>
      </c>
      <c r="H417" s="7"/>
    </row>
    <row r="418" spans="1:8" s="6" customFormat="1" x14ac:dyDescent="0.25">
      <c r="B418" s="5"/>
      <c r="C418" s="85"/>
      <c r="D418" s="5"/>
      <c r="E418" s="5"/>
      <c r="F418" s="93"/>
      <c r="G418" s="93"/>
      <c r="H418" s="7"/>
    </row>
    <row r="419" spans="1:8" s="6" customFormat="1" x14ac:dyDescent="0.25">
      <c r="B419" s="5" t="s">
        <v>336</v>
      </c>
      <c r="C419" s="84" t="str">
        <f>C394</f>
        <v>Type T Light Fitting</v>
      </c>
      <c r="D419" s="94" t="s">
        <v>12</v>
      </c>
      <c r="E419" s="97">
        <f>E394</f>
        <v>4</v>
      </c>
      <c r="F419" s="93">
        <v>0</v>
      </c>
      <c r="G419" s="93">
        <f t="shared" ref="G419" si="24">F419*E419</f>
        <v>0</v>
      </c>
      <c r="H419" s="7"/>
    </row>
    <row r="420" spans="1:8" s="6" customFormat="1" x14ac:dyDescent="0.25">
      <c r="B420" s="5"/>
      <c r="C420" s="84"/>
      <c r="D420" s="94"/>
      <c r="E420" s="97"/>
      <c r="F420" s="93"/>
      <c r="G420" s="93"/>
      <c r="H420" s="7"/>
    </row>
    <row r="421" spans="1:8" s="6" customFormat="1" x14ac:dyDescent="0.25">
      <c r="B421" s="5"/>
      <c r="C421" s="84"/>
      <c r="D421" s="94"/>
      <c r="E421" s="97"/>
      <c r="F421" s="93"/>
      <c r="G421" s="93"/>
      <c r="H421" s="7"/>
    </row>
    <row r="422" spans="1:8" s="6" customFormat="1" x14ac:dyDescent="0.25">
      <c r="B422" s="5"/>
      <c r="C422" s="84"/>
      <c r="D422" s="94"/>
      <c r="E422" s="97"/>
      <c r="F422" s="93"/>
      <c r="G422" s="93"/>
      <c r="H422" s="7"/>
    </row>
    <row r="423" spans="1:8" s="6" customFormat="1" x14ac:dyDescent="0.25">
      <c r="B423" s="5"/>
      <c r="C423" s="84"/>
      <c r="D423" s="94"/>
      <c r="E423" s="97"/>
      <c r="F423" s="93"/>
      <c r="G423" s="93"/>
      <c r="H423" s="7"/>
    </row>
    <row r="424" spans="1:8" s="6" customFormat="1" x14ac:dyDescent="0.25">
      <c r="B424" s="5"/>
      <c r="C424" s="84"/>
      <c r="D424" s="94"/>
      <c r="E424" s="97"/>
      <c r="F424" s="93"/>
      <c r="G424" s="93"/>
      <c r="H424" s="7"/>
    </row>
    <row r="425" spans="1:8" s="6" customFormat="1" x14ac:dyDescent="0.25">
      <c r="B425" s="5"/>
      <c r="C425" s="84"/>
      <c r="D425" s="94"/>
      <c r="E425" s="97"/>
      <c r="F425" s="93"/>
      <c r="G425" s="93"/>
      <c r="H425" s="7"/>
    </row>
    <row r="426" spans="1:8" s="6" customFormat="1" x14ac:dyDescent="0.25">
      <c r="B426" s="155"/>
      <c r="C426" s="223"/>
      <c r="D426" s="224"/>
      <c r="E426" s="225"/>
      <c r="F426" s="226"/>
      <c r="G426" s="93"/>
      <c r="H426" s="7"/>
    </row>
    <row r="427" spans="1:8" s="6" customFormat="1" x14ac:dyDescent="0.25">
      <c r="B427" s="209"/>
      <c r="C427" s="210"/>
      <c r="D427" s="210"/>
      <c r="E427" s="210"/>
      <c r="F427" s="211" t="s">
        <v>170</v>
      </c>
      <c r="G427" s="212">
        <f>SUM(G373:G426)</f>
        <v>0</v>
      </c>
      <c r="H427" s="7"/>
    </row>
    <row r="428" spans="1:8" x14ac:dyDescent="0.25">
      <c r="A428" s="73"/>
      <c r="B428" s="199"/>
      <c r="C428" s="200"/>
      <c r="D428" s="42"/>
      <c r="E428" s="42"/>
      <c r="F428" s="201"/>
      <c r="G428" s="43"/>
      <c r="H428" s="73"/>
    </row>
    <row r="429" spans="1:8" x14ac:dyDescent="0.25">
      <c r="A429" s="139"/>
      <c r="B429" s="213"/>
      <c r="C429" s="214"/>
      <c r="D429" s="213"/>
      <c r="E429" s="37"/>
      <c r="F429" s="215"/>
      <c r="G429" s="216"/>
      <c r="H429" s="139"/>
    </row>
    <row r="430" spans="1:8" x14ac:dyDescent="0.25">
      <c r="A430" s="202"/>
      <c r="B430" s="191" t="s">
        <v>1</v>
      </c>
      <c r="C430" s="192" t="s">
        <v>2</v>
      </c>
      <c r="D430" s="191" t="s">
        <v>3</v>
      </c>
      <c r="E430" s="191" t="s">
        <v>4</v>
      </c>
      <c r="F430" s="193" t="s">
        <v>8</v>
      </c>
      <c r="G430" s="193" t="s">
        <v>9</v>
      </c>
      <c r="H430" s="203"/>
    </row>
    <row r="431" spans="1:8" s="10" customFormat="1" ht="26.25" customHeight="1" x14ac:dyDescent="0.25">
      <c r="B431" s="217"/>
      <c r="C431" s="218"/>
      <c r="D431" s="218"/>
      <c r="E431" s="218"/>
      <c r="F431" s="219" t="s">
        <v>171</v>
      </c>
      <c r="G431" s="220">
        <f>G427</f>
        <v>0</v>
      </c>
      <c r="H431" s="4"/>
    </row>
    <row r="432" spans="1:8" s="74" customFormat="1" x14ac:dyDescent="0.25">
      <c r="A432" s="9"/>
      <c r="B432" s="160"/>
      <c r="C432" s="71"/>
      <c r="D432" s="26"/>
      <c r="E432" s="27"/>
      <c r="F432" s="29"/>
      <c r="G432" s="28"/>
      <c r="H432" s="9"/>
    </row>
    <row r="433" spans="2:7" x14ac:dyDescent="0.25">
      <c r="B433" s="154" t="s">
        <v>337</v>
      </c>
      <c r="C433" s="57" t="s">
        <v>234</v>
      </c>
      <c r="D433" s="142"/>
      <c r="E433" s="5"/>
      <c r="F433" s="151"/>
      <c r="G433" s="152"/>
    </row>
    <row r="434" spans="2:7" ht="66" x14ac:dyDescent="0.25">
      <c r="B434" s="155" t="s">
        <v>127</v>
      </c>
      <c r="C434" s="55" t="s">
        <v>235</v>
      </c>
      <c r="D434" s="142" t="s">
        <v>5</v>
      </c>
      <c r="E434" s="5">
        <v>1</v>
      </c>
      <c r="F434" s="93">
        <v>0</v>
      </c>
      <c r="G434" s="14">
        <f>F434*E434</f>
        <v>0</v>
      </c>
    </row>
    <row r="435" spans="2:7" x14ac:dyDescent="0.25">
      <c r="B435" s="155"/>
      <c r="C435" s="55"/>
      <c r="D435" s="142"/>
      <c r="E435" s="5"/>
      <c r="F435" s="151"/>
      <c r="G435" s="152"/>
    </row>
    <row r="436" spans="2:7" x14ac:dyDescent="0.25">
      <c r="B436" s="155" t="s">
        <v>189</v>
      </c>
      <c r="C436" s="55" t="s">
        <v>236</v>
      </c>
      <c r="D436" s="142" t="s">
        <v>5</v>
      </c>
      <c r="E436" s="5">
        <v>1</v>
      </c>
      <c r="F436" s="93">
        <v>0</v>
      </c>
      <c r="G436" s="14">
        <f>F436*E436</f>
        <v>0</v>
      </c>
    </row>
    <row r="437" spans="2:7" x14ac:dyDescent="0.25">
      <c r="B437" s="155"/>
      <c r="C437" s="55"/>
      <c r="D437" s="142"/>
      <c r="E437" s="5"/>
      <c r="F437" s="156"/>
      <c r="G437" s="14"/>
    </row>
    <row r="438" spans="2:7" x14ac:dyDescent="0.25">
      <c r="B438" s="155" t="s">
        <v>190</v>
      </c>
      <c r="C438" s="55" t="s">
        <v>237</v>
      </c>
      <c r="D438" s="142" t="s">
        <v>5</v>
      </c>
      <c r="E438" s="5">
        <v>1</v>
      </c>
      <c r="F438" s="93">
        <v>0</v>
      </c>
      <c r="G438" s="14">
        <f>F438*E438</f>
        <v>0</v>
      </c>
    </row>
    <row r="439" spans="2:7" x14ac:dyDescent="0.25">
      <c r="B439" s="155"/>
      <c r="C439" s="55"/>
      <c r="D439" s="142"/>
      <c r="E439" s="5"/>
      <c r="F439" s="151"/>
      <c r="G439" s="152"/>
    </row>
    <row r="440" spans="2:7" x14ac:dyDescent="0.25">
      <c r="B440" s="155" t="s">
        <v>191</v>
      </c>
      <c r="C440" s="55" t="s">
        <v>238</v>
      </c>
      <c r="D440" s="142" t="s">
        <v>5</v>
      </c>
      <c r="E440" s="5">
        <v>1</v>
      </c>
      <c r="F440" s="93">
        <v>0</v>
      </c>
      <c r="G440" s="14">
        <f>F440*E440</f>
        <v>0</v>
      </c>
    </row>
    <row r="441" spans="2:7" x14ac:dyDescent="0.25">
      <c r="B441" s="155"/>
      <c r="C441" s="55"/>
      <c r="D441" s="142"/>
      <c r="E441" s="5"/>
      <c r="F441" s="153"/>
      <c r="G441" s="14"/>
    </row>
    <row r="442" spans="2:7" ht="52.8" x14ac:dyDescent="0.25">
      <c r="B442" s="155" t="s">
        <v>192</v>
      </c>
      <c r="C442" s="55" t="s">
        <v>239</v>
      </c>
      <c r="D442" s="142" t="s">
        <v>5</v>
      </c>
      <c r="E442" s="5">
        <v>1</v>
      </c>
      <c r="F442" s="93">
        <v>0</v>
      </c>
      <c r="G442" s="14">
        <f>F442*E442</f>
        <v>0</v>
      </c>
    </row>
    <row r="443" spans="2:7" x14ac:dyDescent="0.25">
      <c r="B443" s="155"/>
      <c r="C443" s="55"/>
      <c r="D443" s="142"/>
      <c r="E443" s="5"/>
      <c r="F443" s="93"/>
      <c r="G443" s="178"/>
    </row>
    <row r="444" spans="2:7" x14ac:dyDescent="0.25">
      <c r="B444" s="154" t="s">
        <v>341</v>
      </c>
      <c r="C444" s="57" t="s">
        <v>342</v>
      </c>
      <c r="D444" s="142"/>
      <c r="E444" s="5"/>
      <c r="F444" s="93"/>
      <c r="G444" s="178"/>
    </row>
    <row r="445" spans="2:7" ht="26.4" x14ac:dyDescent="0.25">
      <c r="B445" s="155" t="s">
        <v>240</v>
      </c>
      <c r="C445" s="55" t="s">
        <v>343</v>
      </c>
      <c r="D445" s="142" t="s">
        <v>5</v>
      </c>
      <c r="E445" s="5">
        <v>1</v>
      </c>
      <c r="F445" s="93">
        <v>0</v>
      </c>
      <c r="G445" s="178">
        <f>E445*F445</f>
        <v>0</v>
      </c>
    </row>
    <row r="446" spans="2:7" x14ac:dyDescent="0.25">
      <c r="B446" s="155"/>
      <c r="C446" s="55"/>
      <c r="D446" s="142"/>
      <c r="E446" s="5"/>
      <c r="F446" s="93"/>
      <c r="G446" s="178"/>
    </row>
    <row r="447" spans="2:7" x14ac:dyDescent="0.25">
      <c r="B447" s="155"/>
      <c r="C447" s="55"/>
      <c r="D447" s="142"/>
      <c r="E447" s="5"/>
      <c r="F447" s="93"/>
      <c r="G447" s="178"/>
    </row>
    <row r="448" spans="2:7" x14ac:dyDescent="0.25">
      <c r="B448" s="155"/>
      <c r="C448" s="55"/>
      <c r="D448" s="142"/>
      <c r="E448" s="5"/>
      <c r="F448" s="93"/>
      <c r="G448" s="178"/>
    </row>
    <row r="449" spans="2:7" x14ac:dyDescent="0.25">
      <c r="B449" s="155"/>
      <c r="C449" s="55"/>
      <c r="D449" s="142"/>
      <c r="E449" s="5"/>
      <c r="F449" s="93"/>
      <c r="G449" s="178"/>
    </row>
    <row r="450" spans="2:7" x14ac:dyDescent="0.25">
      <c r="B450" s="155"/>
      <c r="C450" s="55"/>
      <c r="D450" s="142"/>
      <c r="E450" s="5"/>
      <c r="F450" s="93"/>
      <c r="G450" s="178"/>
    </row>
    <row r="451" spans="2:7" x14ac:dyDescent="0.25">
      <c r="B451" s="155"/>
      <c r="C451" s="55"/>
      <c r="D451" s="142"/>
      <c r="E451" s="5"/>
      <c r="F451" s="93"/>
      <c r="G451" s="178"/>
    </row>
    <row r="452" spans="2:7" x14ac:dyDescent="0.25">
      <c r="B452" s="155"/>
      <c r="C452" s="55"/>
      <c r="D452" s="142"/>
      <c r="E452" s="5"/>
      <c r="F452" s="93"/>
      <c r="G452" s="178"/>
    </row>
    <row r="453" spans="2:7" x14ac:dyDescent="0.25">
      <c r="B453" s="155"/>
      <c r="C453" s="55"/>
      <c r="D453" s="142"/>
      <c r="E453" s="5"/>
      <c r="F453" s="93"/>
      <c r="G453" s="178"/>
    </row>
    <row r="454" spans="2:7" x14ac:dyDescent="0.25">
      <c r="B454" s="155"/>
      <c r="C454" s="55"/>
      <c r="D454" s="142"/>
      <c r="E454" s="5"/>
      <c r="F454" s="93"/>
      <c r="G454" s="178"/>
    </row>
    <row r="455" spans="2:7" x14ac:dyDescent="0.25">
      <c r="B455" s="155"/>
      <c r="C455" s="55"/>
      <c r="D455" s="142"/>
      <c r="E455" s="5"/>
      <c r="F455" s="93"/>
      <c r="G455" s="178"/>
    </row>
    <row r="456" spans="2:7" x14ac:dyDescent="0.25">
      <c r="B456" s="155"/>
      <c r="C456" s="55"/>
      <c r="D456" s="142"/>
      <c r="E456" s="5"/>
      <c r="F456" s="93"/>
      <c r="G456" s="178"/>
    </row>
    <row r="457" spans="2:7" x14ac:dyDescent="0.25">
      <c r="B457" s="155"/>
      <c r="C457" s="55"/>
      <c r="D457" s="142"/>
      <c r="E457" s="5"/>
      <c r="F457" s="93"/>
      <c r="G457" s="178"/>
    </row>
    <row r="458" spans="2:7" x14ac:dyDescent="0.25">
      <c r="B458" s="155"/>
      <c r="C458" s="55"/>
      <c r="D458" s="142"/>
      <c r="E458" s="5"/>
      <c r="F458" s="93"/>
      <c r="G458" s="178"/>
    </row>
    <row r="459" spans="2:7" x14ac:dyDescent="0.25">
      <c r="B459" s="155"/>
      <c r="C459" s="55"/>
      <c r="D459" s="142"/>
      <c r="E459" s="5"/>
      <c r="F459" s="93"/>
      <c r="G459" s="178"/>
    </row>
    <row r="460" spans="2:7" x14ac:dyDescent="0.25">
      <c r="B460" s="155"/>
      <c r="C460" s="55"/>
      <c r="D460" s="142"/>
      <c r="E460" s="5"/>
      <c r="F460" s="93"/>
      <c r="G460" s="178"/>
    </row>
    <row r="461" spans="2:7" x14ac:dyDescent="0.25">
      <c r="B461" s="155"/>
      <c r="C461" s="55"/>
      <c r="D461" s="142"/>
      <c r="E461" s="5"/>
      <c r="F461" s="93"/>
      <c r="G461" s="178"/>
    </row>
    <row r="462" spans="2:7" x14ac:dyDescent="0.25">
      <c r="B462" s="155"/>
      <c r="C462" s="55"/>
      <c r="D462" s="142"/>
      <c r="E462" s="5"/>
      <c r="F462" s="93"/>
      <c r="G462" s="178"/>
    </row>
    <row r="463" spans="2:7" x14ac:dyDescent="0.25">
      <c r="B463" s="155"/>
      <c r="C463" s="55"/>
      <c r="D463" s="142"/>
      <c r="E463" s="5"/>
      <c r="F463" s="93"/>
      <c r="G463" s="178"/>
    </row>
    <row r="464" spans="2:7" x14ac:dyDescent="0.25">
      <c r="B464" s="155"/>
      <c r="C464" s="55"/>
      <c r="D464" s="142"/>
      <c r="E464" s="5"/>
      <c r="F464" s="93"/>
      <c r="G464" s="178"/>
    </row>
    <row r="465" spans="2:8" x14ac:dyDescent="0.25">
      <c r="B465" s="155"/>
      <c r="C465" s="55"/>
      <c r="D465" s="142"/>
      <c r="E465" s="5"/>
      <c r="F465" s="93"/>
      <c r="G465" s="178"/>
    </row>
    <row r="466" spans="2:8" x14ac:dyDescent="0.25">
      <c r="B466" s="155"/>
      <c r="C466" s="55"/>
      <c r="D466" s="142"/>
      <c r="E466" s="5"/>
      <c r="F466" s="93"/>
      <c r="G466" s="178"/>
    </row>
    <row r="467" spans="2:8" x14ac:dyDescent="0.25">
      <c r="B467" s="155"/>
      <c r="C467" s="55"/>
      <c r="D467" s="142"/>
      <c r="E467" s="5"/>
      <c r="F467" s="93"/>
      <c r="G467" s="178"/>
    </row>
    <row r="468" spans="2:8" x14ac:dyDescent="0.25">
      <c r="B468" s="155"/>
      <c r="C468" s="55"/>
      <c r="D468" s="142"/>
      <c r="E468" s="5"/>
      <c r="F468" s="93"/>
      <c r="G468" s="178"/>
    </row>
    <row r="469" spans="2:8" x14ac:dyDescent="0.25">
      <c r="B469" s="155"/>
      <c r="C469" s="55"/>
      <c r="D469" s="142"/>
      <c r="E469" s="5"/>
      <c r="F469" s="93"/>
      <c r="G469" s="178"/>
    </row>
    <row r="470" spans="2:8" x14ac:dyDescent="0.25">
      <c r="B470" s="155"/>
      <c r="C470" s="55"/>
      <c r="D470" s="142"/>
      <c r="E470" s="5"/>
      <c r="F470" s="93"/>
      <c r="G470" s="178"/>
    </row>
    <row r="471" spans="2:8" x14ac:dyDescent="0.25">
      <c r="B471" s="155"/>
      <c r="C471" s="55"/>
      <c r="D471" s="142"/>
      <c r="E471" s="5"/>
      <c r="F471" s="93"/>
      <c r="G471" s="178"/>
    </row>
    <row r="472" spans="2:8" x14ac:dyDescent="0.25">
      <c r="B472" s="155"/>
      <c r="C472" s="55"/>
      <c r="D472" s="142"/>
      <c r="E472" s="5"/>
      <c r="F472" s="93"/>
      <c r="G472" s="178"/>
    </row>
    <row r="473" spans="2:8" x14ac:dyDescent="0.25">
      <c r="B473" s="155"/>
      <c r="C473" s="55"/>
      <c r="D473" s="142"/>
      <c r="E473" s="5"/>
      <c r="F473" s="93"/>
      <c r="G473" s="178"/>
    </row>
    <row r="474" spans="2:8" x14ac:dyDescent="0.25">
      <c r="B474" s="155"/>
      <c r="C474" s="55"/>
      <c r="D474" s="142"/>
      <c r="E474" s="5"/>
      <c r="F474" s="93"/>
      <c r="G474" s="178"/>
    </row>
    <row r="475" spans="2:8" x14ac:dyDescent="0.25">
      <c r="B475" s="155"/>
      <c r="C475" s="55"/>
      <c r="D475" s="142"/>
      <c r="E475" s="5"/>
      <c r="F475" s="93"/>
      <c r="G475" s="178"/>
    </row>
    <row r="476" spans="2:8" x14ac:dyDescent="0.25">
      <c r="B476" s="155"/>
      <c r="C476" s="55"/>
      <c r="D476" s="142"/>
      <c r="E476" s="5"/>
      <c r="F476" s="93"/>
      <c r="G476" s="178"/>
    </row>
    <row r="477" spans="2:8" x14ac:dyDescent="0.25">
      <c r="B477" s="179"/>
      <c r="C477" s="180"/>
      <c r="D477" s="113"/>
      <c r="E477" s="114"/>
      <c r="F477" s="115"/>
      <c r="G477" s="181"/>
    </row>
    <row r="478" spans="2:8" s="6" customFormat="1" ht="13.8" thickBot="1" x14ac:dyDescent="0.3">
      <c r="B478" s="145" t="s">
        <v>168</v>
      </c>
      <c r="C478" s="146"/>
      <c r="D478" s="146"/>
      <c r="E478" s="146"/>
      <c r="F478" s="132"/>
      <c r="G478" s="147">
        <f>SUM(G431:G477)</f>
        <v>0</v>
      </c>
      <c r="H478" s="7"/>
    </row>
    <row r="479" spans="2:8" s="9" customFormat="1" ht="20.25" customHeight="1" thickTop="1" x14ac:dyDescent="0.25">
      <c r="B479" s="221"/>
      <c r="C479" s="221"/>
      <c r="D479" s="221"/>
      <c r="E479" s="221"/>
      <c r="F479" s="221"/>
      <c r="G479" s="222"/>
      <c r="H479" s="16"/>
    </row>
    <row r="480" spans="2:8" s="9" customFormat="1" x14ac:dyDescent="0.25">
      <c r="B480" s="86"/>
      <c r="C480" s="194"/>
      <c r="D480" s="194"/>
      <c r="E480" s="194"/>
      <c r="F480" s="21"/>
      <c r="G480" s="150"/>
      <c r="H480" s="16"/>
    </row>
    <row r="481" spans="1:8" s="9" customFormat="1" x14ac:dyDescent="0.25">
      <c r="B481" s="175">
        <v>3</v>
      </c>
      <c r="C481" s="66" t="s">
        <v>130</v>
      </c>
      <c r="D481" s="94"/>
      <c r="E481" s="94"/>
      <c r="F481" s="93"/>
      <c r="G481" s="93"/>
      <c r="H481" s="16"/>
    </row>
    <row r="482" spans="1:8" s="6" customFormat="1" x14ac:dyDescent="0.25">
      <c r="B482" s="144"/>
      <c r="C482" s="15"/>
      <c r="D482" s="5"/>
      <c r="E482" s="5"/>
      <c r="F482" s="14"/>
      <c r="G482" s="14"/>
      <c r="H482" s="7"/>
    </row>
    <row r="483" spans="1:8" x14ac:dyDescent="0.25">
      <c r="B483" s="94" t="s">
        <v>338</v>
      </c>
      <c r="C483" s="58" t="s">
        <v>201</v>
      </c>
      <c r="D483" s="94"/>
      <c r="E483" s="94"/>
      <c r="F483" s="100"/>
      <c r="G483" s="182"/>
    </row>
    <row r="484" spans="1:8" ht="39.6" x14ac:dyDescent="0.25">
      <c r="B484" s="94" t="s">
        <v>204</v>
      </c>
      <c r="C484" s="51" t="s">
        <v>247</v>
      </c>
      <c r="D484" s="133" t="s">
        <v>202</v>
      </c>
      <c r="E484" s="134"/>
      <c r="F484" s="88">
        <f>87500*1.1</f>
        <v>96250.000000000015</v>
      </c>
      <c r="G484" s="183">
        <v>0</v>
      </c>
    </row>
    <row r="485" spans="1:8" x14ac:dyDescent="0.25">
      <c r="B485" s="160"/>
      <c r="C485" s="51"/>
      <c r="D485" s="89"/>
      <c r="E485" s="184"/>
      <c r="F485" s="90"/>
      <c r="G485" s="28"/>
    </row>
    <row r="486" spans="1:8" x14ac:dyDescent="0.25">
      <c r="B486" s="94" t="s">
        <v>205</v>
      </c>
      <c r="C486" s="101" t="s">
        <v>206</v>
      </c>
      <c r="D486" s="102" t="s">
        <v>203</v>
      </c>
      <c r="E486" s="103"/>
      <c r="F486" s="104">
        <f>F484</f>
        <v>96250.000000000015</v>
      </c>
      <c r="G486" s="28">
        <f>F486*E486</f>
        <v>0</v>
      </c>
    </row>
    <row r="487" spans="1:8" s="6" customFormat="1" x14ac:dyDescent="0.25">
      <c r="B487" s="160"/>
      <c r="C487" s="101"/>
      <c r="D487" s="5"/>
      <c r="E487" s="105"/>
      <c r="F487" s="104"/>
      <c r="G487" s="28"/>
      <c r="H487" s="7"/>
    </row>
    <row r="488" spans="1:8" s="10" customFormat="1" ht="39.6" x14ac:dyDescent="0.25">
      <c r="B488" s="94" t="s">
        <v>207</v>
      </c>
      <c r="C488" s="51" t="s">
        <v>248</v>
      </c>
      <c r="D488" s="133" t="s">
        <v>202</v>
      </c>
      <c r="E488" s="134"/>
      <c r="F488" s="88">
        <f>63500*1.1</f>
        <v>69850</v>
      </c>
      <c r="G488" s="183">
        <v>0</v>
      </c>
      <c r="H488" s="4"/>
    </row>
    <row r="489" spans="1:8" s="74" customFormat="1" ht="21.75" customHeight="1" x14ac:dyDescent="0.25">
      <c r="A489" s="9"/>
      <c r="B489" s="160"/>
      <c r="C489" s="51"/>
      <c r="D489" s="89"/>
      <c r="E489" s="184"/>
      <c r="F489" s="90"/>
      <c r="G489" s="28"/>
      <c r="H489" s="9"/>
    </row>
    <row r="490" spans="1:8" s="65" customFormat="1" x14ac:dyDescent="0.25">
      <c r="A490" s="30"/>
      <c r="B490" s="94" t="s">
        <v>208</v>
      </c>
      <c r="C490" s="101" t="s">
        <v>209</v>
      </c>
      <c r="D490" s="102" t="s">
        <v>203</v>
      </c>
      <c r="E490" s="103"/>
      <c r="F490" s="104">
        <f>F488</f>
        <v>69850</v>
      </c>
      <c r="G490" s="28">
        <f>F490*E490</f>
        <v>0</v>
      </c>
      <c r="H490" s="72"/>
    </row>
    <row r="491" spans="1:8" x14ac:dyDescent="0.25">
      <c r="B491" s="160"/>
      <c r="C491" s="101"/>
      <c r="D491" s="5"/>
      <c r="E491" s="105"/>
      <c r="F491" s="104"/>
      <c r="G491" s="28"/>
    </row>
    <row r="492" spans="1:8" ht="39.6" x14ac:dyDescent="0.25">
      <c r="B492" s="94" t="s">
        <v>210</v>
      </c>
      <c r="C492" s="51" t="s">
        <v>249</v>
      </c>
      <c r="D492" s="133" t="s">
        <v>202</v>
      </c>
      <c r="E492" s="134"/>
      <c r="F492" s="88">
        <f>159000*1.1</f>
        <v>174900</v>
      </c>
      <c r="G492" s="183">
        <v>0</v>
      </c>
    </row>
    <row r="493" spans="1:8" x14ac:dyDescent="0.25">
      <c r="B493" s="160"/>
      <c r="C493" s="51"/>
      <c r="D493" s="89"/>
      <c r="E493" s="184"/>
      <c r="F493" s="90"/>
      <c r="G493" s="28"/>
    </row>
    <row r="494" spans="1:8" x14ac:dyDescent="0.25">
      <c r="B494" s="94" t="s">
        <v>211</v>
      </c>
      <c r="C494" s="101" t="s">
        <v>212</v>
      </c>
      <c r="D494" s="102" t="s">
        <v>203</v>
      </c>
      <c r="E494" s="103"/>
      <c r="F494" s="104">
        <f>F492</f>
        <v>174900</v>
      </c>
      <c r="G494" s="28">
        <f>F494*E494</f>
        <v>0</v>
      </c>
    </row>
    <row r="495" spans="1:8" x14ac:dyDescent="0.25">
      <c r="B495" s="160"/>
      <c r="C495" s="101"/>
      <c r="D495" s="5"/>
      <c r="E495" s="105"/>
      <c r="F495" s="104"/>
      <c r="G495" s="28"/>
    </row>
    <row r="496" spans="1:8" x14ac:dyDescent="0.25">
      <c r="B496" s="94" t="s">
        <v>213</v>
      </c>
      <c r="C496" s="51" t="s">
        <v>251</v>
      </c>
      <c r="D496" s="133" t="s">
        <v>202</v>
      </c>
      <c r="E496" s="134"/>
      <c r="F496" s="88">
        <v>25000</v>
      </c>
      <c r="G496" s="183">
        <v>0</v>
      </c>
    </row>
    <row r="497" spans="2:7" x14ac:dyDescent="0.25">
      <c r="B497" s="160"/>
      <c r="C497" s="51"/>
      <c r="D497" s="89"/>
      <c r="E497" s="184"/>
      <c r="F497" s="90"/>
      <c r="G497" s="28"/>
    </row>
    <row r="498" spans="2:7" x14ac:dyDescent="0.25">
      <c r="B498" s="94" t="s">
        <v>214</v>
      </c>
      <c r="C498" s="101" t="s">
        <v>215</v>
      </c>
      <c r="D498" s="102" t="s">
        <v>203</v>
      </c>
      <c r="E498" s="103"/>
      <c r="F498" s="104">
        <f>F496</f>
        <v>25000</v>
      </c>
      <c r="G498" s="28">
        <f>F498*E498</f>
        <v>0</v>
      </c>
    </row>
    <row r="499" spans="2:7" x14ac:dyDescent="0.25">
      <c r="B499" s="94"/>
      <c r="C499" s="101"/>
      <c r="D499" s="125"/>
      <c r="E499" s="126"/>
      <c r="F499" s="104"/>
      <c r="G499" s="28"/>
    </row>
    <row r="500" spans="2:7" ht="26.4" x14ac:dyDescent="0.25">
      <c r="B500" s="185"/>
      <c r="C500" s="95" t="s">
        <v>241</v>
      </c>
      <c r="D500" s="94"/>
      <c r="E500" s="94"/>
      <c r="F500" s="100"/>
      <c r="G500" s="182"/>
    </row>
    <row r="501" spans="2:7" x14ac:dyDescent="0.25">
      <c r="B501" s="185"/>
      <c r="C501" s="95"/>
      <c r="D501" s="94"/>
      <c r="E501" s="94"/>
      <c r="F501" s="100"/>
      <c r="G501" s="182"/>
    </row>
    <row r="502" spans="2:7" x14ac:dyDescent="0.25">
      <c r="B502" s="185"/>
      <c r="C502" s="95"/>
      <c r="D502" s="94"/>
      <c r="E502" s="94"/>
      <c r="F502" s="100"/>
      <c r="G502" s="182"/>
    </row>
    <row r="503" spans="2:7" x14ac:dyDescent="0.25">
      <c r="B503" s="185"/>
      <c r="C503" s="95"/>
      <c r="D503" s="94"/>
      <c r="E503" s="94"/>
      <c r="F503" s="100"/>
      <c r="G503" s="182"/>
    </row>
    <row r="504" spans="2:7" x14ac:dyDescent="0.25">
      <c r="B504" s="185"/>
      <c r="C504" s="95"/>
      <c r="D504" s="94"/>
      <c r="E504" s="94"/>
      <c r="F504" s="100"/>
      <c r="G504" s="182"/>
    </row>
    <row r="505" spans="2:7" x14ac:dyDescent="0.25">
      <c r="B505" s="185"/>
      <c r="C505" s="95"/>
      <c r="D505" s="94"/>
      <c r="E505" s="94"/>
      <c r="F505" s="100"/>
      <c r="G505" s="182"/>
    </row>
    <row r="506" spans="2:7" x14ac:dyDescent="0.25">
      <c r="B506" s="185"/>
      <c r="C506" s="95"/>
      <c r="D506" s="94"/>
      <c r="E506" s="94"/>
      <c r="F506" s="100"/>
      <c r="G506" s="182"/>
    </row>
    <row r="507" spans="2:7" x14ac:dyDescent="0.25">
      <c r="B507" s="185"/>
      <c r="C507" s="95"/>
      <c r="D507" s="94"/>
      <c r="E507" s="94"/>
      <c r="F507" s="100"/>
      <c r="G507" s="182"/>
    </row>
    <row r="508" spans="2:7" x14ac:dyDescent="0.25">
      <c r="B508" s="185"/>
      <c r="C508" s="95"/>
      <c r="D508" s="94"/>
      <c r="E508" s="94"/>
      <c r="F508" s="100"/>
      <c r="G508" s="182"/>
    </row>
    <row r="509" spans="2:7" x14ac:dyDescent="0.25">
      <c r="B509" s="185"/>
      <c r="C509" s="95"/>
      <c r="D509" s="94"/>
      <c r="E509" s="94"/>
      <c r="F509" s="100"/>
      <c r="G509" s="182"/>
    </row>
    <row r="510" spans="2:7" x14ac:dyDescent="0.25">
      <c r="B510" s="185"/>
      <c r="C510" s="95"/>
      <c r="D510" s="94"/>
      <c r="E510" s="94"/>
      <c r="F510" s="100"/>
      <c r="G510" s="182"/>
    </row>
    <row r="511" spans="2:7" x14ac:dyDescent="0.25">
      <c r="B511" s="185"/>
      <c r="C511" s="95"/>
      <c r="D511" s="94"/>
      <c r="E511" s="94"/>
      <c r="F511" s="100"/>
      <c r="G511" s="182"/>
    </row>
    <row r="512" spans="2:7" x14ac:dyDescent="0.25">
      <c r="B512" s="185"/>
      <c r="C512" s="95"/>
      <c r="D512" s="94"/>
      <c r="E512" s="94"/>
      <c r="F512" s="100"/>
      <c r="G512" s="182"/>
    </row>
    <row r="513" spans="2:8" x14ac:dyDescent="0.25">
      <c r="B513" s="185"/>
      <c r="C513" s="95"/>
      <c r="D513" s="94"/>
      <c r="E513" s="94"/>
      <c r="F513" s="100"/>
      <c r="G513" s="182"/>
    </row>
    <row r="514" spans="2:8" x14ac:dyDescent="0.25">
      <c r="B514" s="185"/>
      <c r="C514" s="95"/>
      <c r="D514" s="94"/>
      <c r="E514" s="94"/>
      <c r="F514" s="100"/>
      <c r="G514" s="182"/>
    </row>
    <row r="515" spans="2:8" x14ac:dyDescent="0.25">
      <c r="B515" s="185"/>
      <c r="C515" s="95"/>
      <c r="D515" s="94"/>
      <c r="E515" s="94"/>
      <c r="F515" s="100"/>
      <c r="G515" s="182"/>
    </row>
    <row r="516" spans="2:8" x14ac:dyDescent="0.25">
      <c r="B516" s="185"/>
      <c r="C516" s="95"/>
      <c r="D516" s="94"/>
      <c r="E516" s="94"/>
      <c r="F516" s="100"/>
      <c r="G516" s="182"/>
    </row>
    <row r="517" spans="2:8" x14ac:dyDescent="0.25">
      <c r="B517" s="185"/>
      <c r="C517" s="95"/>
      <c r="D517" s="94"/>
      <c r="E517" s="94"/>
      <c r="F517" s="100"/>
      <c r="G517" s="182"/>
    </row>
    <row r="518" spans="2:8" x14ac:dyDescent="0.25">
      <c r="B518" s="185"/>
      <c r="C518" s="95"/>
      <c r="D518" s="94"/>
      <c r="E518" s="94"/>
      <c r="F518" s="100"/>
      <c r="G518" s="182"/>
    </row>
    <row r="519" spans="2:8" x14ac:dyDescent="0.25">
      <c r="B519" s="185"/>
      <c r="C519" s="95"/>
      <c r="D519" s="94"/>
      <c r="E519" s="94"/>
      <c r="F519" s="100"/>
      <c r="G519" s="182"/>
    </row>
    <row r="520" spans="2:8" x14ac:dyDescent="0.25">
      <c r="B520" s="185"/>
      <c r="C520" s="95"/>
      <c r="D520" s="94"/>
      <c r="E520" s="94"/>
      <c r="F520" s="100"/>
      <c r="G520" s="182"/>
    </row>
    <row r="521" spans="2:8" x14ac:dyDescent="0.25">
      <c r="B521" s="185"/>
      <c r="C521" s="95"/>
      <c r="D521" s="94"/>
      <c r="E521" s="94"/>
      <c r="F521" s="100"/>
      <c r="G521" s="182"/>
    </row>
    <row r="522" spans="2:8" x14ac:dyDescent="0.25">
      <c r="B522" s="185"/>
      <c r="C522" s="95"/>
      <c r="D522" s="94"/>
      <c r="E522" s="94"/>
      <c r="F522" s="100"/>
      <c r="G522" s="182"/>
    </row>
    <row r="523" spans="2:8" x14ac:dyDescent="0.25">
      <c r="B523" s="185"/>
      <c r="C523" s="95"/>
      <c r="D523" s="94"/>
      <c r="E523" s="94"/>
      <c r="F523" s="100"/>
      <c r="G523" s="182"/>
    </row>
    <row r="524" spans="2:8" x14ac:dyDescent="0.25">
      <c r="B524" s="185"/>
      <c r="C524" s="95"/>
      <c r="D524" s="94"/>
      <c r="E524" s="94"/>
      <c r="F524" s="100"/>
      <c r="G524" s="182"/>
    </row>
    <row r="525" spans="2:8" x14ac:dyDescent="0.25">
      <c r="B525" s="185"/>
      <c r="C525" s="95"/>
      <c r="D525" s="94"/>
      <c r="E525" s="94"/>
      <c r="F525" s="100"/>
      <c r="G525" s="182"/>
    </row>
    <row r="526" spans="2:8" x14ac:dyDescent="0.25">
      <c r="B526" s="185"/>
      <c r="C526" s="95"/>
      <c r="D526" s="94"/>
      <c r="E526" s="94"/>
      <c r="F526" s="100"/>
      <c r="G526" s="182"/>
    </row>
    <row r="527" spans="2:8" s="6" customFormat="1" x14ac:dyDescent="0.25">
      <c r="B527" s="144"/>
      <c r="C527" s="15"/>
      <c r="D527" s="5"/>
      <c r="E527" s="5"/>
      <c r="F527" s="14"/>
      <c r="G527" s="14"/>
      <c r="H527" s="7"/>
    </row>
    <row r="528" spans="2:8" s="6" customFormat="1" x14ac:dyDescent="0.25">
      <c r="B528" s="5"/>
      <c r="C528" s="101"/>
      <c r="D528" s="102"/>
      <c r="E528" s="94"/>
      <c r="F528" s="104"/>
      <c r="G528" s="28"/>
      <c r="H528" s="7"/>
    </row>
    <row r="529" spans="1:8" s="6" customFormat="1" x14ac:dyDescent="0.25">
      <c r="B529" s="186" t="s">
        <v>169</v>
      </c>
      <c r="C529" s="187"/>
      <c r="D529" s="187"/>
      <c r="E529" s="187"/>
      <c r="F529" s="188"/>
      <c r="G529" s="189">
        <f>SUM(G481:G528)</f>
        <v>0</v>
      </c>
      <c r="H529" s="7"/>
    </row>
    <row r="530" spans="1:8" s="9" customFormat="1" ht="20.25" customHeight="1" x14ac:dyDescent="0.25">
      <c r="B530" s="20"/>
      <c r="C530" s="20"/>
      <c r="D530" s="20"/>
      <c r="E530" s="20"/>
      <c r="F530" s="20"/>
      <c r="G530" s="75"/>
      <c r="H530" s="16"/>
    </row>
    <row r="531" spans="1:8" s="9" customFormat="1" x14ac:dyDescent="0.25">
      <c r="B531" s="20"/>
      <c r="C531" s="20"/>
      <c r="D531" s="20"/>
      <c r="E531" s="20"/>
      <c r="F531" s="20"/>
      <c r="G531" s="75"/>
      <c r="H531" s="16"/>
    </row>
    <row r="532" spans="1:8" s="9" customFormat="1" x14ac:dyDescent="0.25">
      <c r="B532" s="20"/>
      <c r="C532" s="20"/>
      <c r="D532" s="20"/>
      <c r="E532" s="20"/>
      <c r="F532" s="20"/>
      <c r="G532" s="75"/>
      <c r="H532" s="16"/>
    </row>
    <row r="533" spans="1:8" s="9" customFormat="1" x14ac:dyDescent="0.25">
      <c r="B533" s="47"/>
      <c r="C533" s="70"/>
      <c r="D533" s="8"/>
      <c r="E533" s="8"/>
      <c r="F533" s="11"/>
      <c r="G533" s="19"/>
      <c r="H533" s="16"/>
    </row>
    <row r="534" spans="1:8" ht="9" customHeight="1" x14ac:dyDescent="0.25">
      <c r="A534" s="36"/>
      <c r="B534" s="42"/>
      <c r="C534" s="68"/>
      <c r="D534" s="42"/>
      <c r="E534" s="42"/>
      <c r="F534" s="43"/>
      <c r="G534" s="43"/>
      <c r="H534" s="92"/>
    </row>
    <row r="535" spans="1:8" x14ac:dyDescent="0.25">
      <c r="B535" s="127" t="s">
        <v>134</v>
      </c>
      <c r="C535" s="127"/>
      <c r="D535" s="127"/>
      <c r="E535" s="127"/>
      <c r="F535" s="127"/>
      <c r="G535" s="127"/>
    </row>
    <row r="536" spans="1:8" x14ac:dyDescent="0.25">
      <c r="B536" s="130" t="str">
        <f>B35</f>
        <v>Sub total for Section1 - Preliminary and General Items</v>
      </c>
      <c r="C536" s="130"/>
      <c r="D536" s="130"/>
      <c r="E536" s="130"/>
      <c r="F536" s="130"/>
      <c r="G536" s="48">
        <f>G35</f>
        <v>0</v>
      </c>
      <c r="H536" s="19"/>
    </row>
    <row r="537" spans="1:8" s="9" customFormat="1" ht="20.100000000000001" customHeight="1" x14ac:dyDescent="0.25">
      <c r="B537" s="130" t="str">
        <f>B478</f>
        <v>Sub total for Section 2 - General Electrical</v>
      </c>
      <c r="C537" s="130"/>
      <c r="D537" s="130"/>
      <c r="E537" s="130"/>
      <c r="F537" s="130"/>
      <c r="G537" s="48">
        <f>G478</f>
        <v>0</v>
      </c>
      <c r="H537" s="20"/>
    </row>
    <row r="538" spans="1:8" s="9" customFormat="1" ht="20.100000000000001" customHeight="1" x14ac:dyDescent="0.25">
      <c r="B538" s="130" t="str">
        <f>B529</f>
        <v>Sub total for Section 3 - Sum Values and Allowances</v>
      </c>
      <c r="C538" s="130"/>
      <c r="D538" s="130"/>
      <c r="E538" s="130"/>
      <c r="F538" s="130"/>
      <c r="G538" s="48">
        <f>G529</f>
        <v>0</v>
      </c>
      <c r="H538" s="20"/>
    </row>
    <row r="539" spans="1:8" s="9" customFormat="1" ht="20.100000000000001" customHeight="1" x14ac:dyDescent="0.25">
      <c r="B539" s="22"/>
      <c r="C539" s="69"/>
      <c r="D539" s="45"/>
      <c r="E539" s="45"/>
      <c r="F539" s="46" t="s">
        <v>135</v>
      </c>
      <c r="G539" s="49">
        <f>SUM(G536:G538)</f>
        <v>0</v>
      </c>
      <c r="H539" s="20"/>
    </row>
    <row r="540" spans="1:8" s="9" customFormat="1" ht="18.75" customHeight="1" x14ac:dyDescent="0.25">
      <c r="B540" s="22"/>
      <c r="C540" s="69"/>
      <c r="D540" s="45"/>
      <c r="E540" s="45"/>
      <c r="F540" s="44" t="s">
        <v>136</v>
      </c>
      <c r="G540" s="48">
        <f>G539*0.15</f>
        <v>0</v>
      </c>
      <c r="H540" s="20"/>
    </row>
    <row r="541" spans="1:8" s="9" customFormat="1" ht="18.75" customHeight="1" thickBot="1" x14ac:dyDescent="0.3">
      <c r="B541" s="22"/>
      <c r="C541" s="69"/>
      <c r="D541" s="45"/>
      <c r="E541" s="45"/>
      <c r="F541" s="46" t="s">
        <v>137</v>
      </c>
      <c r="G541" s="116">
        <f>G540+G539</f>
        <v>0</v>
      </c>
      <c r="H541" s="20"/>
    </row>
    <row r="542" spans="1:8" s="9" customFormat="1" ht="20.100000000000001" customHeight="1" thickTop="1" x14ac:dyDescent="0.25">
      <c r="B542" s="38"/>
      <c r="C542" s="67"/>
      <c r="D542" s="39"/>
      <c r="E542" s="39"/>
      <c r="F542" s="40"/>
      <c r="G542" s="41"/>
      <c r="H542" s="20"/>
    </row>
    <row r="543" spans="1:8" x14ac:dyDescent="0.25">
      <c r="A543" s="36"/>
      <c r="B543" s="47"/>
      <c r="G543" s="19"/>
      <c r="H543" s="92"/>
    </row>
    <row r="544" spans="1:8" x14ac:dyDescent="0.25">
      <c r="B544" s="127" t="s">
        <v>173</v>
      </c>
      <c r="C544" s="127"/>
      <c r="D544" s="127"/>
      <c r="E544" s="127"/>
      <c r="F544" s="127"/>
      <c r="G544" s="127"/>
      <c r="H544" s="19"/>
    </row>
    <row r="545" spans="1:8" s="34" customFormat="1" x14ac:dyDescent="0.25">
      <c r="B545" s="35"/>
      <c r="C545" s="106"/>
      <c r="D545" s="107"/>
      <c r="E545" s="107"/>
      <c r="F545" s="99"/>
      <c r="G545" s="99"/>
    </row>
    <row r="546" spans="1:8" s="34" customFormat="1" x14ac:dyDescent="0.25">
      <c r="C546" s="76" t="s">
        <v>147</v>
      </c>
      <c r="D546" s="107"/>
      <c r="E546" s="128"/>
      <c r="F546" s="128"/>
      <c r="G546" s="128"/>
    </row>
    <row r="547" spans="1:8" s="34" customFormat="1" x14ac:dyDescent="0.25">
      <c r="B547" s="109"/>
      <c r="C547" s="129" t="s">
        <v>174</v>
      </c>
      <c r="D547" s="129"/>
      <c r="E547" s="129"/>
      <c r="F547" s="129"/>
      <c r="G547" s="129"/>
    </row>
    <row r="548" spans="1:8" s="34" customFormat="1" ht="41.25" customHeight="1" x14ac:dyDescent="0.25">
      <c r="B548" s="110"/>
      <c r="C548" s="70"/>
      <c r="D548" s="70"/>
      <c r="E548" s="70"/>
      <c r="F548" s="70"/>
      <c r="G548" s="70"/>
    </row>
    <row r="549" spans="1:8" s="34" customFormat="1" ht="9.9" customHeight="1" x14ac:dyDescent="0.25">
      <c r="B549" s="35"/>
      <c r="C549" s="50" t="s">
        <v>175</v>
      </c>
      <c r="E549" s="128"/>
      <c r="F549" s="128"/>
      <c r="G549" s="128"/>
    </row>
    <row r="550" spans="1:8" s="34" customFormat="1" x14ac:dyDescent="0.25">
      <c r="B550" s="35"/>
      <c r="C550" s="109"/>
    </row>
    <row r="551" spans="1:8" s="34" customFormat="1" ht="9.9" customHeight="1" x14ac:dyDescent="0.25">
      <c r="C551" s="50" t="s">
        <v>176</v>
      </c>
      <c r="E551" s="128"/>
      <c r="F551" s="128"/>
      <c r="G551" s="128"/>
    </row>
    <row r="552" spans="1:8" s="34" customFormat="1" ht="15" customHeight="1" x14ac:dyDescent="0.25">
      <c r="C552" s="109"/>
    </row>
    <row r="553" spans="1:8" s="34" customFormat="1" ht="9.9" customHeight="1" x14ac:dyDescent="0.25">
      <c r="B553" s="110"/>
      <c r="C553" s="50" t="s">
        <v>177</v>
      </c>
      <c r="E553" s="128"/>
      <c r="F553" s="128"/>
      <c r="G553" s="128"/>
    </row>
    <row r="554" spans="1:8" s="34" customFormat="1" x14ac:dyDescent="0.25">
      <c r="B554" s="47"/>
      <c r="C554" s="70"/>
      <c r="D554" s="8"/>
      <c r="E554" s="8"/>
      <c r="F554" s="11"/>
      <c r="G554" s="19"/>
    </row>
    <row r="555" spans="1:8" ht="9.9" customHeight="1" x14ac:dyDescent="0.25">
      <c r="A555" s="36"/>
      <c r="B555" s="91"/>
      <c r="C555" s="68"/>
      <c r="D555" s="42"/>
      <c r="E555" s="42"/>
      <c r="F555" s="43"/>
      <c r="G555" s="92"/>
      <c r="H555" s="92"/>
    </row>
    <row r="556" spans="1:8" x14ac:dyDescent="0.25">
      <c r="B556" s="137" t="s">
        <v>178</v>
      </c>
      <c r="C556" s="137"/>
      <c r="D556" s="34"/>
      <c r="E556" s="34"/>
      <c r="F556" s="34"/>
      <c r="G556" s="34"/>
      <c r="H556" s="19"/>
    </row>
    <row r="557" spans="1:8" s="34" customFormat="1" ht="12.75" customHeight="1" x14ac:dyDescent="0.25">
      <c r="B557" s="110"/>
    </row>
    <row r="558" spans="1:8" s="34" customFormat="1" x14ac:dyDescent="0.25">
      <c r="B558" s="77" t="s">
        <v>1</v>
      </c>
      <c r="C558" s="78" t="s">
        <v>2</v>
      </c>
      <c r="D558" s="138" t="s">
        <v>179</v>
      </c>
      <c r="E558" s="138"/>
      <c r="F558" s="138"/>
      <c r="G558" s="138"/>
    </row>
    <row r="559" spans="1:8" s="34" customFormat="1" x14ac:dyDescent="0.25">
      <c r="B559" s="111">
        <v>1</v>
      </c>
      <c r="C559" s="79" t="s">
        <v>185</v>
      </c>
      <c r="D559" s="135"/>
      <c r="E559" s="135"/>
      <c r="F559" s="135"/>
      <c r="G559" s="135"/>
    </row>
    <row r="560" spans="1:8" s="34" customFormat="1" ht="20.100000000000001" customHeight="1" x14ac:dyDescent="0.25">
      <c r="B560" s="111">
        <v>2</v>
      </c>
      <c r="C560" s="79" t="s">
        <v>96</v>
      </c>
      <c r="D560" s="135"/>
      <c r="E560" s="135"/>
      <c r="F560" s="135"/>
      <c r="G560" s="135"/>
    </row>
    <row r="561" spans="1:8" s="34" customFormat="1" ht="20.100000000000001" customHeight="1" x14ac:dyDescent="0.25">
      <c r="B561" s="111">
        <v>3</v>
      </c>
      <c r="C561" s="79" t="s">
        <v>186</v>
      </c>
      <c r="D561" s="135"/>
      <c r="E561" s="135"/>
      <c r="F561" s="135"/>
      <c r="G561" s="135"/>
    </row>
    <row r="562" spans="1:8" s="34" customFormat="1" ht="20.100000000000001" customHeight="1" x14ac:dyDescent="0.25">
      <c r="B562" s="111">
        <v>4</v>
      </c>
      <c r="C562" s="79" t="s">
        <v>187</v>
      </c>
      <c r="D562" s="135"/>
      <c r="E562" s="135"/>
      <c r="F562" s="135"/>
      <c r="G562" s="135"/>
    </row>
    <row r="563" spans="1:8" s="34" customFormat="1" ht="20.100000000000001" customHeight="1" x14ac:dyDescent="0.25">
      <c r="B563" s="111">
        <v>5</v>
      </c>
      <c r="C563" s="79" t="s">
        <v>188</v>
      </c>
      <c r="D563" s="135"/>
      <c r="E563" s="135"/>
      <c r="F563" s="135"/>
      <c r="G563" s="135"/>
    </row>
    <row r="564" spans="1:8" s="34" customFormat="1" ht="20.100000000000001" customHeight="1" x14ac:dyDescent="0.25">
      <c r="B564" s="111">
        <v>6</v>
      </c>
      <c r="C564" s="79" t="s">
        <v>250</v>
      </c>
      <c r="D564" s="122"/>
      <c r="E564" s="123"/>
      <c r="F564" s="123"/>
      <c r="G564" s="124"/>
    </row>
    <row r="565" spans="1:8" s="34" customFormat="1" ht="20.100000000000001" customHeight="1" x14ac:dyDescent="0.25">
      <c r="B565" s="111">
        <v>7</v>
      </c>
      <c r="C565" s="79" t="s">
        <v>193</v>
      </c>
      <c r="D565" s="135"/>
      <c r="E565" s="135"/>
      <c r="F565" s="135"/>
      <c r="G565" s="135"/>
    </row>
    <row r="566" spans="1:8" s="34" customFormat="1" ht="20.100000000000001" customHeight="1" x14ac:dyDescent="0.25">
      <c r="B566" s="47"/>
      <c r="C566" s="70"/>
      <c r="D566" s="8"/>
      <c r="E566" s="8"/>
      <c r="F566" s="11"/>
      <c r="G566" s="19"/>
    </row>
    <row r="567" spans="1:8" ht="9.9" customHeight="1" x14ac:dyDescent="0.25">
      <c r="A567" s="36"/>
      <c r="B567" s="91"/>
      <c r="C567" s="68"/>
      <c r="D567" s="42"/>
      <c r="E567" s="42"/>
      <c r="F567" s="43"/>
      <c r="G567" s="92"/>
      <c r="H567" s="92"/>
    </row>
    <row r="568" spans="1:8" x14ac:dyDescent="0.25">
      <c r="B568" s="110"/>
      <c r="C568" s="136" t="s">
        <v>180</v>
      </c>
      <c r="D568" s="136"/>
      <c r="E568" s="136"/>
      <c r="F568" s="136"/>
      <c r="G568" s="107"/>
      <c r="H568" s="19"/>
    </row>
    <row r="569" spans="1:8" s="34" customFormat="1" x14ac:dyDescent="0.25">
      <c r="B569" s="110"/>
      <c r="C569" s="106"/>
      <c r="D569" s="106"/>
      <c r="E569" s="106"/>
      <c r="F569" s="106"/>
      <c r="G569" s="107"/>
    </row>
    <row r="570" spans="1:8" s="34" customFormat="1" ht="11.1" customHeight="1" x14ac:dyDescent="0.25">
      <c r="B570" s="110"/>
      <c r="C570" s="50" t="s">
        <v>181</v>
      </c>
      <c r="D570" s="107"/>
      <c r="E570" s="128"/>
      <c r="F570" s="128"/>
      <c r="G570" s="128"/>
    </row>
    <row r="571" spans="1:8" s="34" customFormat="1" x14ac:dyDescent="0.25">
      <c r="B571" s="110"/>
      <c r="C571" s="106"/>
      <c r="D571" s="107"/>
      <c r="E571" s="107"/>
      <c r="F571" s="99"/>
      <c r="G571" s="99"/>
    </row>
    <row r="572" spans="1:8" s="34" customFormat="1" ht="11.1" customHeight="1" x14ac:dyDescent="0.25">
      <c r="B572" s="110"/>
      <c r="C572" s="50" t="s">
        <v>182</v>
      </c>
      <c r="D572" s="107"/>
      <c r="E572" s="108"/>
      <c r="F572" s="108"/>
      <c r="G572" s="108"/>
    </row>
    <row r="573" spans="1:8" s="34" customFormat="1" x14ac:dyDescent="0.25">
      <c r="B573" s="110"/>
      <c r="D573" s="107"/>
      <c r="E573" s="107"/>
      <c r="F573" s="107"/>
      <c r="G573" s="107"/>
    </row>
    <row r="574" spans="1:8" s="34" customFormat="1" ht="11.1" customHeight="1" x14ac:dyDescent="0.25">
      <c r="B574" s="110"/>
      <c r="C574" s="50" t="s">
        <v>183</v>
      </c>
      <c r="D574" s="107"/>
      <c r="E574" s="128"/>
      <c r="F574" s="128"/>
      <c r="G574" s="128"/>
    </row>
    <row r="575" spans="1:8" s="34" customFormat="1" x14ac:dyDescent="0.25">
      <c r="B575" s="110"/>
      <c r="C575" s="112"/>
      <c r="D575" s="107"/>
      <c r="E575" s="107"/>
      <c r="F575" s="107"/>
      <c r="G575" s="107"/>
    </row>
    <row r="576" spans="1:8" s="34" customFormat="1" ht="11.1" customHeight="1" x14ac:dyDescent="0.25">
      <c r="B576" s="110"/>
      <c r="C576" s="112"/>
      <c r="D576" s="107"/>
      <c r="E576" s="107"/>
      <c r="F576" s="107"/>
      <c r="G576" s="107"/>
    </row>
    <row r="577" spans="1:8" s="34" customFormat="1" ht="11.1" customHeight="1" x14ac:dyDescent="0.25">
      <c r="B577" s="110"/>
      <c r="C577" s="112" t="s">
        <v>184</v>
      </c>
      <c r="D577" s="107"/>
      <c r="E577" s="128"/>
      <c r="F577" s="128"/>
      <c r="G577" s="128"/>
    </row>
    <row r="578" spans="1:8" s="34" customFormat="1" x14ac:dyDescent="0.25">
      <c r="B578" s="110"/>
      <c r="C578" s="112"/>
      <c r="D578" s="107"/>
      <c r="E578" s="107"/>
      <c r="F578" s="99"/>
      <c r="G578" s="99"/>
    </row>
    <row r="579" spans="1:8" s="34" customFormat="1" ht="11.1" customHeight="1" x14ac:dyDescent="0.25">
      <c r="B579" s="110"/>
      <c r="C579" s="112" t="s">
        <v>133</v>
      </c>
      <c r="D579" s="107"/>
      <c r="E579" s="128"/>
      <c r="F579" s="128"/>
      <c r="G579" s="128"/>
    </row>
    <row r="580" spans="1:8" s="34" customFormat="1" x14ac:dyDescent="0.25">
      <c r="B580" s="80"/>
      <c r="C580" s="81"/>
      <c r="D580" s="8"/>
      <c r="E580" s="8"/>
      <c r="F580" s="82"/>
      <c r="G580" s="11"/>
    </row>
    <row r="581" spans="1:8" ht="9.9" customHeight="1" x14ac:dyDescent="0.25">
      <c r="B581" s="117"/>
      <c r="C581" s="118"/>
      <c r="D581" s="119"/>
      <c r="E581" s="36"/>
      <c r="F581" s="120"/>
      <c r="G581" s="121"/>
    </row>
    <row r="582" spans="1:8" x14ac:dyDescent="0.25">
      <c r="A582" s="36"/>
      <c r="H582" s="36"/>
    </row>
  </sheetData>
  <mergeCells count="31">
    <mergeCell ref="E574:G574"/>
    <mergeCell ref="E577:G577"/>
    <mergeCell ref="E579:G579"/>
    <mergeCell ref="D562:G562"/>
    <mergeCell ref="D563:G563"/>
    <mergeCell ref="D565:G565"/>
    <mergeCell ref="D560:G560"/>
    <mergeCell ref="D561:G561"/>
    <mergeCell ref="C568:F568"/>
    <mergeCell ref="E570:G570"/>
    <mergeCell ref="E551:G551"/>
    <mergeCell ref="E553:G553"/>
    <mergeCell ref="B556:C556"/>
    <mergeCell ref="D558:G558"/>
    <mergeCell ref="D559:G559"/>
    <mergeCell ref="B1:G1"/>
    <mergeCell ref="B35:F35"/>
    <mergeCell ref="B529:F529"/>
    <mergeCell ref="B478:F478"/>
    <mergeCell ref="D496:E496"/>
    <mergeCell ref="D488:E488"/>
    <mergeCell ref="D492:E492"/>
    <mergeCell ref="D484:E484"/>
    <mergeCell ref="B544:G544"/>
    <mergeCell ref="E546:G546"/>
    <mergeCell ref="C547:G547"/>
    <mergeCell ref="E549:G549"/>
    <mergeCell ref="B535:G535"/>
    <mergeCell ref="B536:F536"/>
    <mergeCell ref="B537:F537"/>
    <mergeCell ref="B538:F538"/>
  </mergeCells>
  <phoneticPr fontId="0" type="noConversion"/>
  <printOptions horizontalCentered="1"/>
  <pageMargins left="0.71" right="0.11811023622047245" top="0.23622047244094491" bottom="0.53" header="0.15748031496062992" footer="0.15748031496062992"/>
  <pageSetup scale="96" firstPageNumber="12" fitToHeight="0" orientation="portrait" useFirstPageNumber="1"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Bills</vt:lpstr>
      <vt:lpstr>Bills!Print_Area</vt:lpstr>
      <vt:lpstr>Bills!Print_Titles</vt:lpstr>
    </vt:vector>
  </TitlesOfParts>
  <Company>CA du Toit EC (Pty)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Lance Bright</dc:creator>
  <cp:lastModifiedBy>Petrus Strydom</cp:lastModifiedBy>
  <cp:lastPrinted>2025-12-15T10:55:19Z</cp:lastPrinted>
  <dcterms:created xsi:type="dcterms:W3CDTF">2007-05-23T13:47:11Z</dcterms:created>
  <dcterms:modified xsi:type="dcterms:W3CDTF">2025-12-15T10:56:41Z</dcterms:modified>
</cp:coreProperties>
</file>