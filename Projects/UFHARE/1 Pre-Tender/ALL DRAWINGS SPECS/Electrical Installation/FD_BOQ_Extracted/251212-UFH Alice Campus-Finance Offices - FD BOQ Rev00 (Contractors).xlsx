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CAdT Projects\Projects Active\P8080 - Fort Hare University Finance offices (SVA)\E01\Specification\"/>
    </mc:Choice>
  </mc:AlternateContent>
  <xr:revisionPtr revIDLastSave="0" documentId="13_ncr:1_{2AA9827A-E1F9-4872-BE78-0A64DFF964C5}" xr6:coauthVersionLast="47" xr6:coauthVersionMax="47" xr10:uidLastSave="{00000000-0000-0000-0000-000000000000}"/>
  <bookViews>
    <workbookView xWindow="-120" yWindow="-120" windowWidth="29040" windowHeight="15720" tabRatio="671" xr2:uid="{00000000-000D-0000-FFFF-FFFF00000000}"/>
  </bookViews>
  <sheets>
    <sheet name="Thorndale FD" sheetId="28" r:id="rId1"/>
  </sheets>
  <definedNames>
    <definedName name="_xlnm.Print_Area" localSheetId="0">'Thorndale FD'!$A$1:$G$329</definedName>
    <definedName name="Print_Area_MI" localSheetId="0">#REF!</definedName>
    <definedName name="Print_Area_MI">#REF!</definedName>
    <definedName name="_xlnm.Print_Titles" localSheetId="0">'Thorndale FD'!$1:$2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282" i="28" l="1"/>
  <c r="G281" i="28"/>
  <c r="G280" i="28"/>
  <c r="G279" i="28"/>
  <c r="B279" i="28"/>
  <c r="B278" i="28"/>
  <c r="E179" i="28"/>
  <c r="G179" i="28" s="1"/>
  <c r="D179" i="28"/>
  <c r="C179" i="28"/>
  <c r="E177" i="28"/>
  <c r="G148" i="28"/>
  <c r="G26" i="28"/>
  <c r="G59" i="28" s="1"/>
  <c r="G278" i="28" s="1"/>
  <c r="B280" i="28"/>
  <c r="B281" i="28"/>
  <c r="B282" i="28"/>
  <c r="E169" i="28"/>
  <c r="G169" i="28" s="1"/>
  <c r="D169" i="28"/>
  <c r="C169" i="28"/>
  <c r="G138" i="28"/>
  <c r="G194" i="28" l="1"/>
  <c r="C177" i="28" l="1"/>
  <c r="D177" i="28"/>
  <c r="G177" i="28"/>
  <c r="G146" i="28"/>
  <c r="G183" i="28"/>
  <c r="D173" i="28"/>
  <c r="E173" i="28"/>
  <c r="G173" i="28" s="1"/>
  <c r="D175" i="28"/>
  <c r="E175" i="28"/>
  <c r="G175" i="28" s="1"/>
  <c r="C163" i="28"/>
  <c r="C165" i="28"/>
  <c r="C167" i="28"/>
  <c r="C171" i="28"/>
  <c r="C173" i="28"/>
  <c r="C175" i="28"/>
  <c r="G142" i="28"/>
  <c r="E151" i="28"/>
  <c r="G151" i="28" s="1"/>
  <c r="G227" i="28" l="1"/>
  <c r="C151" i="28"/>
  <c r="D151" i="28"/>
  <c r="C153" i="28"/>
  <c r="D153" i="28"/>
  <c r="E153" i="28"/>
  <c r="G153" i="28" s="1"/>
  <c r="C155" i="28"/>
  <c r="D155" i="28"/>
  <c r="E155" i="28"/>
  <c r="G155" i="28" s="1"/>
  <c r="D163" i="28"/>
  <c r="E163" i="28"/>
  <c r="G163" i="28" s="1"/>
  <c r="D165" i="28"/>
  <c r="E165" i="28"/>
  <c r="G165" i="28" s="1"/>
  <c r="D167" i="28"/>
  <c r="E167" i="28"/>
  <c r="G167" i="28" s="1"/>
  <c r="D171" i="28"/>
  <c r="E171" i="28"/>
  <c r="G171" i="28" s="1"/>
  <c r="G130" i="28"/>
  <c r="G132" i="28"/>
  <c r="G134" i="28"/>
  <c r="G136" i="28"/>
  <c r="G140" i="28"/>
  <c r="G144" i="28"/>
  <c r="G128" i="28"/>
  <c r="G126" i="28"/>
  <c r="G157" i="28" l="1"/>
  <c r="G161" i="28"/>
  <c r="G200" i="28"/>
  <c r="G197" i="28"/>
  <c r="G209" i="28" s="1"/>
  <c r="E78" i="28" l="1"/>
  <c r="G78" i="28" s="1"/>
  <c r="E76" i="28"/>
  <c r="G76" i="28" s="1"/>
  <c r="G224" i="28"/>
  <c r="G221" i="28"/>
  <c r="G218" i="28"/>
  <c r="G273" i="28" s="1"/>
  <c r="G185" i="28"/>
  <c r="G187" i="28" s="1"/>
  <c r="E98" i="28"/>
  <c r="G98" i="28" s="1"/>
  <c r="C98" i="28"/>
  <c r="E96" i="28"/>
  <c r="G96" i="28" s="1"/>
  <c r="C96" i="28"/>
  <c r="E94" i="28"/>
  <c r="G94" i="28" s="1"/>
  <c r="C94" i="28"/>
  <c r="E92" i="28"/>
  <c r="G92" i="28" s="1"/>
  <c r="C92" i="28"/>
  <c r="G90" i="28"/>
  <c r="G88" i="28"/>
  <c r="G86" i="28"/>
  <c r="G84" i="28"/>
  <c r="C78" i="28"/>
  <c r="E74" i="28"/>
  <c r="G74" i="28" s="1"/>
  <c r="G68" i="28"/>
  <c r="G72" i="28" l="1"/>
  <c r="G70" i="28"/>
  <c r="G117" i="28" s="1"/>
  <c r="G283" i="28" l="1"/>
  <c r="G284" i="28" s="1"/>
  <c r="G285" i="28" s="1"/>
</calcChain>
</file>

<file path=xl/sharedStrings.xml><?xml version="1.0" encoding="utf-8"?>
<sst xmlns="http://schemas.openxmlformats.org/spreadsheetml/2006/main" count="219" uniqueCount="133">
  <si>
    <t>Item</t>
  </si>
  <si>
    <t>Description</t>
  </si>
  <si>
    <t>Unit</t>
  </si>
  <si>
    <t>Qty</t>
  </si>
  <si>
    <t>Rate</t>
  </si>
  <si>
    <t>Amount</t>
  </si>
  <si>
    <t>Sum</t>
  </si>
  <si>
    <t>Supply</t>
  </si>
  <si>
    <t>No.</t>
  </si>
  <si>
    <t>m</t>
  </si>
  <si>
    <t>Install</t>
  </si>
  <si>
    <t xml:space="preserve">R            C  </t>
  </si>
  <si>
    <t>Specify:</t>
  </si>
  <si>
    <t>Testing and commissioning of the complete installation</t>
  </si>
  <si>
    <t>Training of the Employer's personnel to operate the system</t>
  </si>
  <si>
    <t>Carried Forward to next Page</t>
  </si>
  <si>
    <t>Brought Forward from previous Page</t>
  </si>
  <si>
    <t xml:space="preserve"> Supply</t>
  </si>
  <si>
    <t xml:space="preserve"> 20 mm diameter</t>
  </si>
  <si>
    <t xml:space="preserve"> 25 mm diameter</t>
  </si>
  <si>
    <t xml:space="preserve"> 25 mm diameter - Flexible conduit (Sprague)</t>
  </si>
  <si>
    <t xml:space="preserve"> Install</t>
  </si>
  <si>
    <t xml:space="preserve"> Conduit boxes for PVC Conduit</t>
  </si>
  <si>
    <t xml:space="preserve"> PVC conduit and accessories.  Conduit applied and installed, including hospital saddles,  couplings, cutting, reaming, bending,  fixing etc.</t>
  </si>
  <si>
    <t>Additional equipment required to complete the installation in accordance with the requirements of the Sovereign Foods:</t>
  </si>
  <si>
    <t>1.1.1</t>
  </si>
  <si>
    <t>1.2.1</t>
  </si>
  <si>
    <t xml:space="preserve"> </t>
  </si>
  <si>
    <t>The amount given as the "Total Tender Price" and carried to the amounts official tender form will be regarded as including the amounts shown in the Bill and no adjustments will be made for any failure by Tenderer's to include these amounts in the total appearing on the official form.</t>
  </si>
  <si>
    <t>All Material covered by this Specification should, wherever possible, be of South African manufacture. In the adjudication of Tenders, preference will be given to items manufactured in the Republic of South Africa from South African materials.</t>
  </si>
  <si>
    <t>Name of Contractor</t>
  </si>
  <si>
    <t>Company Stamp</t>
  </si>
  <si>
    <t>Signature of Contractor</t>
  </si>
  <si>
    <t>GENERAL ITEMS</t>
  </si>
  <si>
    <t>Workshop Drawings</t>
  </si>
  <si>
    <t>Hoisting and Rigging</t>
  </si>
  <si>
    <t>Provision for scaffolding and high-rise equipment required to complete installation</t>
  </si>
  <si>
    <t>Maintenance</t>
  </si>
  <si>
    <t>12 months maintenance and servicing of equipment</t>
  </si>
  <si>
    <t>The entire fire detection installation in this contract shall be completed concurrently with the building works.</t>
  </si>
  <si>
    <t>Outlet boxes, round 65mm diameter x 25mm deep, complete with covers and screws, with conduit or 100x50 and 100x100 Surface and recesses boxes.</t>
  </si>
  <si>
    <t>Round Box for 20mm conduit (1, 2 3 or 4 Way)</t>
  </si>
  <si>
    <t>Round Box for 25mm conduit (1, 2 3 or 4 Way)</t>
  </si>
  <si>
    <t xml:space="preserve"> 100 x 50 - Surface box for FD equipment or connections.</t>
  </si>
  <si>
    <t xml:space="preserve"> 100 x 100 - Surface box for FD equipment or connections.</t>
  </si>
  <si>
    <t>Fire Detection System and equipment</t>
  </si>
  <si>
    <t>2.1.1</t>
  </si>
  <si>
    <t>2.2.1</t>
  </si>
  <si>
    <t>2.2.2</t>
  </si>
  <si>
    <t>Completion Items</t>
  </si>
  <si>
    <t>Optical smoke detectors including standard base mounted on 65mm diameter drawboxes.</t>
  </si>
  <si>
    <t>2.1.2</t>
  </si>
  <si>
    <t>Heat detectors including standard base mounted on 65mm diameter drawboxes.</t>
  </si>
  <si>
    <t>2.1.3</t>
  </si>
  <si>
    <t>2.1.4</t>
  </si>
  <si>
    <t>2.1.6</t>
  </si>
  <si>
    <t>Red manual call point units, complete with protect cover, surface mounted on wall or structure</t>
  </si>
  <si>
    <t>SUMMARY</t>
  </si>
  <si>
    <t>Sub Total</t>
  </si>
  <si>
    <t>15% VAT</t>
  </si>
  <si>
    <t>Total</t>
  </si>
  <si>
    <t>Particulars of specialist Fire Detection Installer/contractor</t>
  </si>
  <si>
    <t>3.1.1</t>
  </si>
  <si>
    <t>3.1.2</t>
  </si>
  <si>
    <t>3.1.3</t>
  </si>
  <si>
    <t>3.1.4</t>
  </si>
  <si>
    <t>3.1.5</t>
  </si>
  <si>
    <t>3.1.6</t>
  </si>
  <si>
    <t>3.1.8</t>
  </si>
  <si>
    <t>3.2.1</t>
  </si>
  <si>
    <t>3.2.2</t>
  </si>
  <si>
    <t>NOTES TO BE READ IN CONJUNCTION WITH THE QUOTATION PRICE.</t>
  </si>
  <si>
    <t>Date</t>
  </si>
  <si>
    <t xml:space="preserve">PVC Conduit </t>
  </si>
  <si>
    <t>2.1.5</t>
  </si>
  <si>
    <t>Optical Smoke/Heat Combinational detectors mounted on 65mm diameter drawbox</t>
  </si>
  <si>
    <t>Strobe / Sounder Surface mounted, IP65, for external use and visual and audible for security.</t>
  </si>
  <si>
    <t>By a registered SAQCC commisioner.</t>
  </si>
  <si>
    <t>Containment - Sub total for Section 1</t>
  </si>
  <si>
    <t>CONTAINMENT</t>
  </si>
  <si>
    <t>Interconnecting cabling between the Fire Detection elements and the Fire Detection alarm panel - PH30</t>
  </si>
  <si>
    <t>Fixed cost</t>
  </si>
  <si>
    <t>Insurance and Guarantee</t>
  </si>
  <si>
    <t>Contractor's obligation to comply with all the requirements of the Health &amp; Safety specifications of the Employer, Health and Safety specification, Construction Regulations Act, Submission of safety file and ongoing SHE management</t>
  </si>
  <si>
    <t>1.3.1</t>
  </si>
  <si>
    <t>1.3.2</t>
  </si>
  <si>
    <t>Time related</t>
  </si>
  <si>
    <t>Months</t>
  </si>
  <si>
    <t>1.4.1</t>
  </si>
  <si>
    <t>1.4.2</t>
  </si>
  <si>
    <t>Design Refinement</t>
  </si>
  <si>
    <t>PC Sum</t>
  </si>
  <si>
    <t>Site establishment and compliance with the conditions of contract, including storage, insurance and other overheads.</t>
  </si>
  <si>
    <t>PRELIMINARY AND GENERAL ITEMS</t>
  </si>
  <si>
    <t>Fixed of duration of the contract 
  (March 2025 - June 2025)</t>
  </si>
  <si>
    <t>Site management in terms of Scope of work</t>
  </si>
  <si>
    <t>Preliminary and General Items, pertaining specifically to the Fire Detection Installation.</t>
  </si>
  <si>
    <t>2.2.3</t>
  </si>
  <si>
    <t>2.2.4</t>
  </si>
  <si>
    <t>2.2.5</t>
  </si>
  <si>
    <t>2.2.6</t>
  </si>
  <si>
    <t>2.2.7</t>
  </si>
  <si>
    <t>2.2.8</t>
  </si>
  <si>
    <t>FIRE DETECTION SYSTEM</t>
  </si>
  <si>
    <t>3.1.9</t>
  </si>
  <si>
    <t>3.1.10</t>
  </si>
  <si>
    <t>3.1.11</t>
  </si>
  <si>
    <t>3.1.12</t>
  </si>
  <si>
    <t>3.1.13</t>
  </si>
  <si>
    <t>3.1.14</t>
  </si>
  <si>
    <t>3.1.15</t>
  </si>
  <si>
    <t>3.1.16</t>
  </si>
  <si>
    <t>3.1.17</t>
  </si>
  <si>
    <t>3.1.18</t>
  </si>
  <si>
    <t>3.1.20</t>
  </si>
  <si>
    <t>3.1.21</t>
  </si>
  <si>
    <t>3.1.22</t>
  </si>
  <si>
    <t>3.1.23</t>
  </si>
  <si>
    <t>General  Items - Sub total for Section 4</t>
  </si>
  <si>
    <t>Optical smoke detector, Strobe / Sounder combination, mounted on 65 mm diameter drawbox on walls/structure.</t>
  </si>
  <si>
    <t>Strobe / Sounder combination, mounted on 65 mm diameter drawbox on walls/structure.</t>
  </si>
  <si>
    <t>Additional Equipment - Sub total for Section 5</t>
  </si>
  <si>
    <t>I/O device, 230V, to control smoke extract fans or other mechanical device/fans in the event of a fire</t>
  </si>
  <si>
    <t>3.1.24</t>
  </si>
  <si>
    <t>Technoswitch 2 loop, Esprit network addressable alarm panel (Fire detection control panel) mounted on wall in the indicated position on the drawings. Complete with ethernet network card for communication to the site and GSM card/unit for communication to cell phones</t>
  </si>
  <si>
    <t>I/O device to communicate with the other control panels, in the event of a fire</t>
  </si>
  <si>
    <t>Remote LED indication light for ceiling void smoke detectors.</t>
  </si>
  <si>
    <t>3.1.7</t>
  </si>
  <si>
    <t>3.1.19</t>
  </si>
  <si>
    <t>Containment - Sub total for Section 2</t>
  </si>
  <si>
    <t>Fire Detection System - Sub total for Section 3</t>
  </si>
  <si>
    <t>t</t>
  </si>
  <si>
    <t>BILL: FIRE DETECTION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</si>
</sst>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R&quot;* #,##0.00_-;\-&quot;R&quot;* #,##0.00_-;_-&quot;R&quot;* &quot;-&quot;??_-;_-@_-"/>
    <numFmt numFmtId="164" formatCode="_ &quot;R&quot;\ * #,##0.00_ ;_ &quot;R&quot;\ * \-#,##0.00_ ;_ &quot;R&quot;\ * &quot;-&quot;??_ ;_ @_ "/>
    <numFmt numFmtId="165" formatCode="_ * #,##0.00_ ;_ * \-#,##0.00_ ;_ * &quot;-&quot;??_ ;_ @_ "/>
    <numFmt numFmtId="166" formatCode="_ &quot;R&quot;\ * #,##0.00_ ;_ &quot;R&quot;\ * \-#,##0.00_ ;_ &quot;R&quot;\ * &quot; &quot;??_ ;_ @_ "/>
    <numFmt numFmtId="167" formatCode="General_)"/>
    <numFmt numFmtId="168" formatCode="0.00_)"/>
    <numFmt numFmtId="169" formatCode="0.0"/>
    <numFmt numFmtId="170" formatCode="&quot;Page &quot;#&quot; of 126&quot;"/>
    <numFmt numFmtId="171" formatCode="_-&quot;R&quot;* #,##0.00_-;\-&quot;R&quot;* #,##0.00_-;_-&quot;R&quot;* &quot; &quot;??_-;_-@_-"/>
  </numFmts>
  <fonts count="18" x14ac:knownFonts="1">
    <font>
      <sz val="10"/>
      <name val="Arial"/>
    </font>
    <font>
      <b/>
      <sz val="10"/>
      <name val="Arial"/>
      <family val="2"/>
    </font>
    <font>
      <sz val="10"/>
      <name val="Arial"/>
      <family val="2"/>
    </font>
    <font>
      <sz val="10"/>
      <name val="Century Gothic"/>
      <family val="2"/>
    </font>
    <font>
      <sz val="6"/>
      <name val="Arial"/>
      <family val="2"/>
    </font>
    <font>
      <b/>
      <sz val="6"/>
      <name val="Arial"/>
      <family val="2"/>
    </font>
    <font>
      <sz val="10"/>
      <color theme="1"/>
      <name val="Arial"/>
      <family val="2"/>
    </font>
    <font>
      <b/>
      <sz val="10"/>
      <color theme="1"/>
      <name val="Arial"/>
      <family val="2"/>
    </font>
    <font>
      <sz val="10"/>
      <name val="Courier"/>
      <family val="3"/>
    </font>
    <font>
      <sz val="10"/>
      <color indexed="8"/>
      <name val="Arial"/>
      <family val="2"/>
    </font>
    <font>
      <sz val="10"/>
      <color theme="1"/>
      <name val="Calibri"/>
      <family val="2"/>
      <scheme val="minor"/>
    </font>
    <font>
      <sz val="9"/>
      <name val="Arial"/>
      <family val="2"/>
    </font>
    <font>
      <b/>
      <sz val="11"/>
      <name val="Arial"/>
      <family val="2"/>
    </font>
    <font>
      <sz val="10"/>
      <name val="Arial"/>
      <family val="2"/>
    </font>
    <font>
      <sz val="8"/>
      <name val="Arial"/>
      <family val="2"/>
    </font>
    <font>
      <sz val="9"/>
      <name val="Calibri"/>
      <family val="2"/>
    </font>
    <font>
      <b/>
      <u/>
      <sz val="11"/>
      <name val="Arial"/>
      <family val="2"/>
    </font>
    <font>
      <b/>
      <u/>
      <sz val="10"/>
      <name val="Arial"/>
      <family val="2"/>
    </font>
  </fonts>
  <fills count="2">
    <fill>
      <patternFill patternType="none"/>
    </fill>
    <fill>
      <patternFill patternType="gray125"/>
    </fill>
  </fills>
  <borders count="37">
    <border>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bottom style="hair">
        <color auto="1"/>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double">
        <color indexed="64"/>
      </bottom>
      <diagonal/>
    </border>
    <border>
      <left/>
      <right/>
      <top style="thin">
        <color indexed="64"/>
      </top>
      <bottom style="double">
        <color indexed="64"/>
      </bottom>
      <diagonal/>
    </border>
    <border>
      <left style="thin">
        <color indexed="64"/>
      </left>
      <right style="medium">
        <color indexed="64"/>
      </right>
      <top/>
      <bottom style="medium">
        <color indexed="64"/>
      </bottom>
      <diagonal/>
    </border>
    <border>
      <left/>
      <right/>
      <top style="hair">
        <color auto="1"/>
      </top>
      <bottom/>
      <diagonal/>
    </border>
  </borders>
  <cellStyleXfs count="7">
    <xf numFmtId="0" fontId="0" fillId="0" borderId="0"/>
    <xf numFmtId="164" fontId="2" fillId="0" borderId="0" applyFont="0" applyFill="0" applyBorder="0" applyAlignment="0" applyProtection="0"/>
    <xf numFmtId="0" fontId="2" fillId="0" borderId="0"/>
    <xf numFmtId="167" fontId="8" fillId="0" borderId="0"/>
    <xf numFmtId="0" fontId="10" fillId="0" borderId="0"/>
    <xf numFmtId="168" fontId="8" fillId="0" borderId="0"/>
    <xf numFmtId="44" fontId="13" fillId="0" borderId="0" applyFont="0" applyFill="0" applyBorder="0" applyAlignment="0" applyProtection="0"/>
  </cellStyleXfs>
  <cellXfs count="191">
    <xf numFmtId="0" fontId="0" fillId="0" borderId="0" xfId="0"/>
    <xf numFmtId="0" fontId="1" fillId="0" borderId="0" xfId="2" applyFont="1"/>
    <xf numFmtId="4" fontId="1" fillId="0" borderId="0" xfId="2" applyNumberFormat="1" applyFont="1"/>
    <xf numFmtId="0" fontId="4"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wrapText="1"/>
    </xf>
    <xf numFmtId="166" fontId="2" fillId="0" borderId="0" xfId="0" applyNumberFormat="1" applyFont="1" applyAlignment="1">
      <alignment vertical="center"/>
    </xf>
    <xf numFmtId="0" fontId="2" fillId="0" borderId="0" xfId="0" applyFont="1" applyAlignment="1">
      <alignment vertical="center"/>
    </xf>
    <xf numFmtId="0" fontId="5" fillId="0" borderId="0" xfId="0" applyFont="1" applyAlignment="1">
      <alignment vertical="center"/>
    </xf>
    <xf numFmtId="0" fontId="1" fillId="0" borderId="10" xfId="0" applyFont="1" applyBorder="1" applyAlignment="1">
      <alignment horizontal="center" vertical="center"/>
    </xf>
    <xf numFmtId="0" fontId="1" fillId="0" borderId="1" xfId="0" applyFont="1" applyBorder="1" applyAlignment="1">
      <alignment horizontal="left" vertical="center" wrapText="1"/>
    </xf>
    <xf numFmtId="0" fontId="1" fillId="0" borderId="11" xfId="0" applyFont="1" applyBorder="1" applyAlignment="1">
      <alignment horizontal="center" vertical="center"/>
    </xf>
    <xf numFmtId="0" fontId="1" fillId="0" borderId="1" xfId="0" applyFont="1" applyBorder="1" applyAlignment="1">
      <alignment horizontal="center" vertical="center"/>
    </xf>
    <xf numFmtId="166" fontId="1" fillId="0" borderId="11" xfId="0" applyNumberFormat="1" applyFont="1" applyBorder="1" applyAlignment="1">
      <alignment horizontal="center" vertical="center"/>
    </xf>
    <xf numFmtId="166" fontId="1" fillId="0" borderId="7" xfId="0" applyNumberFormat="1" applyFont="1" applyBorder="1" applyAlignment="1">
      <alignment horizontal="center" vertical="center"/>
    </xf>
    <xf numFmtId="0" fontId="1" fillId="0" borderId="0" xfId="0" applyFont="1" applyAlignment="1">
      <alignment vertical="center"/>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5" xfId="0" applyFont="1" applyBorder="1" applyAlignment="1">
      <alignment horizontal="center" vertical="center"/>
    </xf>
    <xf numFmtId="166" fontId="1" fillId="0" borderId="5" xfId="0" applyNumberFormat="1" applyFont="1" applyBorder="1" applyAlignment="1">
      <alignment horizontal="center" vertical="center"/>
    </xf>
    <xf numFmtId="166" fontId="2" fillId="0" borderId="8" xfId="2" applyNumberFormat="1" applyBorder="1" applyAlignment="1">
      <alignment horizontal="right" vertical="center"/>
    </xf>
    <xf numFmtId="0" fontId="1" fillId="0" borderId="12" xfId="0" applyFont="1" applyBorder="1" applyAlignment="1">
      <alignment horizontal="left" vertical="top" indent="1"/>
    </xf>
    <xf numFmtId="0" fontId="1" fillId="0" borderId="2" xfId="0" applyFont="1" applyBorder="1" applyAlignment="1">
      <alignment horizontal="left" vertical="top" wrapText="1"/>
    </xf>
    <xf numFmtId="0" fontId="2" fillId="0" borderId="0" xfId="0" applyFont="1" applyAlignment="1">
      <alignment horizontal="center" vertical="top"/>
    </xf>
    <xf numFmtId="0" fontId="2" fillId="0" borderId="2" xfId="0" applyFont="1" applyBorder="1" applyAlignment="1">
      <alignment horizontal="center" vertical="top"/>
    </xf>
    <xf numFmtId="166" fontId="2" fillId="0" borderId="0" xfId="0" applyNumberFormat="1" applyFont="1" applyAlignment="1">
      <alignment horizontal="center" vertical="top"/>
    </xf>
    <xf numFmtId="166" fontId="2" fillId="0" borderId="9" xfId="2" applyNumberFormat="1" applyBorder="1" applyAlignment="1">
      <alignment horizontal="right" vertical="top"/>
    </xf>
    <xf numFmtId="0" fontId="2" fillId="0" borderId="12" xfId="0" applyFont="1" applyBorder="1" applyAlignment="1">
      <alignment horizontal="left" vertical="top" indent="1"/>
    </xf>
    <xf numFmtId="0" fontId="2" fillId="0" borderId="2" xfId="0" applyFont="1" applyBorder="1" applyAlignment="1">
      <alignment horizontal="left" vertical="top" wrapText="1" indent="1"/>
    </xf>
    <xf numFmtId="0" fontId="2" fillId="0" borderId="2" xfId="0" applyFont="1" applyBorder="1" applyAlignment="1">
      <alignment horizontal="left" vertical="top" wrapText="1"/>
    </xf>
    <xf numFmtId="0" fontId="2" fillId="0" borderId="12" xfId="0" applyFont="1" applyBorder="1" applyAlignment="1">
      <alignment horizontal="left" vertical="top" indent="2"/>
    </xf>
    <xf numFmtId="0" fontId="2" fillId="0" borderId="12" xfId="0" applyFont="1" applyBorder="1" applyAlignment="1">
      <alignment horizontal="left" vertical="top" indent="3"/>
    </xf>
    <xf numFmtId="0" fontId="2" fillId="0" borderId="0" xfId="0" applyFont="1" applyAlignment="1">
      <alignment horizontal="center" vertical="top" wrapText="1"/>
    </xf>
    <xf numFmtId="0" fontId="1" fillId="0" borderId="12" xfId="0" applyFont="1" applyBorder="1" applyAlignment="1">
      <alignment horizontal="left" vertical="top" indent="2"/>
    </xf>
    <xf numFmtId="0" fontId="1" fillId="0" borderId="0" xfId="0" applyFont="1" applyAlignment="1">
      <alignment horizontal="center" vertical="top"/>
    </xf>
    <xf numFmtId="0" fontId="1" fillId="0" borderId="2" xfId="0" applyFont="1" applyBorder="1" applyAlignment="1">
      <alignment horizontal="center" vertical="top"/>
    </xf>
    <xf numFmtId="166" fontId="1" fillId="0" borderId="0" xfId="0" applyNumberFormat="1" applyFont="1" applyAlignment="1">
      <alignment horizontal="center" vertical="top"/>
    </xf>
    <xf numFmtId="0" fontId="2" fillId="0" borderId="0" xfId="0" applyFont="1" applyAlignment="1">
      <alignment vertical="top"/>
    </xf>
    <xf numFmtId="0" fontId="2" fillId="0" borderId="3" xfId="0" applyFont="1" applyBorder="1" applyAlignment="1">
      <alignment horizontal="right" vertical="top"/>
    </xf>
    <xf numFmtId="0" fontId="2" fillId="0" borderId="2" xfId="0" applyFont="1" applyBorder="1" applyAlignment="1">
      <alignment horizontal="justify" vertical="top" wrapText="1"/>
    </xf>
    <xf numFmtId="166" fontId="2" fillId="0" borderId="2" xfId="0" applyNumberFormat="1" applyFont="1" applyBorder="1" applyAlignment="1">
      <alignment vertical="top"/>
    </xf>
    <xf numFmtId="166" fontId="2" fillId="0" borderId="9" xfId="0" applyNumberFormat="1" applyFont="1" applyBorder="1" applyAlignment="1">
      <alignment vertical="top"/>
    </xf>
    <xf numFmtId="2" fontId="2" fillId="0" borderId="0" xfId="0" applyNumberFormat="1" applyFont="1" applyAlignment="1">
      <alignment vertical="top"/>
    </xf>
    <xf numFmtId="166" fontId="1" fillId="0" borderId="33" xfId="0" applyNumberFormat="1" applyFont="1" applyBorder="1" applyAlignment="1">
      <alignment vertical="center"/>
    </xf>
    <xf numFmtId="2" fontId="2" fillId="0" borderId="0" xfId="0" applyNumberFormat="1" applyFont="1" applyAlignment="1">
      <alignment vertical="center"/>
    </xf>
    <xf numFmtId="0" fontId="1" fillId="0" borderId="30" xfId="0" applyFont="1" applyBorder="1" applyAlignment="1">
      <alignment horizontal="right" vertical="center"/>
    </xf>
    <xf numFmtId="0" fontId="1" fillId="0" borderId="31" xfId="0" applyFont="1" applyBorder="1" applyAlignment="1">
      <alignment horizontal="right" vertical="center"/>
    </xf>
    <xf numFmtId="0" fontId="1" fillId="0" borderId="32" xfId="0" applyFont="1" applyBorder="1" applyAlignment="1">
      <alignment horizontal="right" vertical="center"/>
    </xf>
    <xf numFmtId="166" fontId="1" fillId="0" borderId="35" xfId="0" applyNumberFormat="1" applyFont="1" applyBorder="1" applyAlignment="1">
      <alignment vertical="center"/>
    </xf>
    <xf numFmtId="0" fontId="1" fillId="0" borderId="2" xfId="0" applyFont="1" applyBorder="1" applyAlignment="1">
      <alignment vertical="top" wrapText="1"/>
    </xf>
    <xf numFmtId="166" fontId="2" fillId="0" borderId="0" xfId="0" applyNumberFormat="1" applyFont="1" applyAlignment="1">
      <alignment vertical="top"/>
    </xf>
    <xf numFmtId="0" fontId="1" fillId="0" borderId="12" xfId="0" applyFont="1" applyBorder="1" applyAlignment="1">
      <alignment horizontal="center" vertical="top"/>
    </xf>
    <xf numFmtId="0" fontId="6" fillId="0" borderId="0" xfId="0" applyFont="1"/>
    <xf numFmtId="0" fontId="7" fillId="0" borderId="3" xfId="0" applyFont="1" applyBorder="1" applyAlignment="1">
      <alignment horizontal="left" vertical="top" indent="2"/>
    </xf>
    <xf numFmtId="0" fontId="7" fillId="0" borderId="2" xfId="0" applyFont="1" applyBorder="1" applyAlignment="1">
      <alignment horizontal="left" vertical="top" wrapText="1"/>
    </xf>
    <xf numFmtId="0" fontId="6" fillId="0" borderId="2" xfId="0" applyFont="1" applyBorder="1" applyAlignment="1">
      <alignment horizontal="center" vertical="top"/>
    </xf>
    <xf numFmtId="3" fontId="6" fillId="0" borderId="2" xfId="0" applyNumberFormat="1" applyFont="1" applyBorder="1" applyAlignment="1">
      <alignment horizontal="center" vertical="top"/>
    </xf>
    <xf numFmtId="166" fontId="6" fillId="0" borderId="2" xfId="0" applyNumberFormat="1" applyFont="1" applyBorder="1" applyAlignment="1">
      <alignment vertical="top"/>
    </xf>
    <xf numFmtId="166" fontId="6" fillId="0" borderId="9" xfId="0" applyNumberFormat="1" applyFont="1" applyBorder="1" applyAlignment="1">
      <alignment vertical="top"/>
    </xf>
    <xf numFmtId="2" fontId="6" fillId="0" borderId="0" xfId="0" applyNumberFormat="1" applyFont="1"/>
    <xf numFmtId="0" fontId="2" fillId="0" borderId="0" xfId="0" applyFont="1"/>
    <xf numFmtId="167" fontId="6" fillId="0" borderId="0" xfId="3" applyFont="1" applyAlignment="1">
      <alignment vertical="top" wrapText="1"/>
    </xf>
    <xf numFmtId="167" fontId="7" fillId="0" borderId="3" xfId="3" applyFont="1" applyBorder="1" applyAlignment="1">
      <alignment horizontal="center" vertical="top"/>
    </xf>
    <xf numFmtId="167" fontId="6" fillId="0" borderId="2" xfId="3" applyFont="1" applyBorder="1" applyAlignment="1">
      <alignment horizontal="left" vertical="top" wrapText="1" indent="1"/>
    </xf>
    <xf numFmtId="167" fontId="6" fillId="0" borderId="2" xfId="3" applyFont="1" applyBorder="1" applyAlignment="1">
      <alignment horizontal="center" vertical="top" wrapText="1"/>
    </xf>
    <xf numFmtId="3" fontId="6" fillId="0" borderId="2" xfId="3" applyNumberFormat="1" applyFont="1" applyBorder="1" applyAlignment="1">
      <alignment horizontal="center" vertical="top" wrapText="1"/>
    </xf>
    <xf numFmtId="166" fontId="6" fillId="0" borderId="2" xfId="3" applyNumberFormat="1" applyFont="1" applyBorder="1" applyAlignment="1">
      <alignment horizontal="left" vertical="top" wrapText="1"/>
    </xf>
    <xf numFmtId="166" fontId="6" fillId="0" borderId="9" xfId="3" applyNumberFormat="1" applyFont="1" applyBorder="1" applyAlignment="1">
      <alignment horizontal="left" vertical="top" wrapText="1"/>
    </xf>
    <xf numFmtId="2" fontId="6" fillId="0" borderId="0" xfId="3" applyNumberFormat="1" applyFont="1" applyAlignment="1">
      <alignment vertical="top" wrapText="1"/>
    </xf>
    <xf numFmtId="167" fontId="2" fillId="0" borderId="0" xfId="3" applyFont="1" applyAlignment="1">
      <alignment vertical="top" wrapText="1"/>
    </xf>
    <xf numFmtId="167" fontId="6" fillId="0" borderId="2" xfId="3" applyFont="1" applyBorder="1" applyAlignment="1">
      <alignment horizontal="left" vertical="top" wrapText="1"/>
    </xf>
    <xf numFmtId="167" fontId="6" fillId="0" borderId="3" xfId="3" applyFont="1" applyBorder="1" applyAlignment="1">
      <alignment horizontal="center" vertical="top"/>
    </xf>
    <xf numFmtId="167" fontId="7" fillId="0" borderId="2" xfId="3" applyFont="1" applyBorder="1" applyAlignment="1">
      <alignment horizontal="left" vertical="top" wrapText="1"/>
    </xf>
    <xf numFmtId="167" fontId="6" fillId="0" borderId="3" xfId="3" applyFont="1" applyBorder="1" applyAlignment="1">
      <alignment horizontal="left" vertical="top" indent="3"/>
    </xf>
    <xf numFmtId="3" fontId="2" fillId="0" borderId="0" xfId="3" applyNumberFormat="1" applyFont="1" applyAlignment="1">
      <alignment horizontal="center" vertical="top" wrapText="1"/>
    </xf>
    <xf numFmtId="167" fontId="2" fillId="0" borderId="0" xfId="3" applyFont="1" applyAlignment="1">
      <alignment horizontal="center" vertical="top" wrapText="1"/>
    </xf>
    <xf numFmtId="166" fontId="9" fillId="0" borderId="2" xfId="3" applyNumberFormat="1" applyFont="1" applyBorder="1" applyAlignment="1">
      <alignment horizontal="left" vertical="top" wrapText="1"/>
    </xf>
    <xf numFmtId="167" fontId="7" fillId="0" borderId="3" xfId="3" applyFont="1" applyBorder="1" applyAlignment="1">
      <alignment horizontal="left" vertical="top" indent="2"/>
    </xf>
    <xf numFmtId="166" fontId="6" fillId="0" borderId="21" xfId="0" applyNumberFormat="1" applyFont="1" applyBorder="1" applyAlignment="1">
      <alignment vertical="top"/>
    </xf>
    <xf numFmtId="0" fontId="2" fillId="0" borderId="0" xfId="0" applyFont="1" applyAlignment="1">
      <alignment horizontal="center"/>
    </xf>
    <xf numFmtId="0" fontId="2" fillId="0" borderId="2" xfId="0" applyFont="1" applyBorder="1" applyAlignment="1">
      <alignment horizontal="center"/>
    </xf>
    <xf numFmtId="165" fontId="2" fillId="0" borderId="0" xfId="0" applyNumberFormat="1" applyFont="1"/>
    <xf numFmtId="0" fontId="2" fillId="0" borderId="9" xfId="0" applyFont="1" applyBorder="1" applyAlignment="1">
      <alignment horizontal="center"/>
    </xf>
    <xf numFmtId="0" fontId="2" fillId="0" borderId="12" xfId="0" applyFont="1" applyBorder="1" applyAlignment="1">
      <alignment horizontal="center" vertical="top"/>
    </xf>
    <xf numFmtId="0" fontId="1" fillId="0" borderId="2" xfId="0" applyFont="1" applyBorder="1" applyAlignment="1">
      <alignment horizontal="left" vertical="top" wrapText="1" indent="1"/>
    </xf>
    <xf numFmtId="0" fontId="2" fillId="0" borderId="2" xfId="0" applyFont="1" applyBorder="1" applyAlignment="1">
      <alignment vertical="top" wrapText="1"/>
    </xf>
    <xf numFmtId="165" fontId="2" fillId="0" borderId="0" xfId="0" applyNumberFormat="1" applyFont="1" applyAlignment="1">
      <alignment vertical="top"/>
    </xf>
    <xf numFmtId="0" fontId="2" fillId="0" borderId="9" xfId="0" applyFont="1" applyBorder="1" applyAlignment="1">
      <alignment horizontal="center" vertical="top"/>
    </xf>
    <xf numFmtId="166" fontId="6" fillId="0" borderId="14" xfId="0" applyNumberFormat="1" applyFont="1" applyBorder="1" applyAlignment="1">
      <alignment horizontal="right" vertical="center"/>
    </xf>
    <xf numFmtId="1" fontId="2" fillId="0" borderId="0" xfId="0" applyNumberFormat="1" applyFont="1"/>
    <xf numFmtId="0" fontId="2" fillId="0" borderId="23" xfId="0" applyFont="1" applyBorder="1"/>
    <xf numFmtId="0" fontId="1" fillId="0" borderId="23" xfId="0" applyFont="1" applyBorder="1" applyAlignment="1">
      <alignment horizontal="center" vertical="top"/>
    </xf>
    <xf numFmtId="0" fontId="1" fillId="0" borderId="23" xfId="0" applyFont="1" applyBorder="1" applyAlignment="1">
      <alignment horizontal="left" vertical="top" wrapText="1"/>
    </xf>
    <xf numFmtId="0" fontId="2" fillId="0" borderId="23" xfId="0" applyFont="1" applyBorder="1" applyAlignment="1">
      <alignment horizontal="center" vertical="top"/>
    </xf>
    <xf numFmtId="164" fontId="2" fillId="0" borderId="23" xfId="0" applyNumberFormat="1" applyFont="1" applyBorder="1" applyAlignment="1">
      <alignment vertical="top"/>
    </xf>
    <xf numFmtId="166" fontId="2" fillId="0" borderId="23" xfId="0" applyNumberFormat="1" applyFont="1" applyBorder="1" applyAlignment="1">
      <alignment vertical="top"/>
    </xf>
    <xf numFmtId="0" fontId="15" fillId="0" borderId="0" xfId="0" applyFont="1" applyAlignment="1">
      <alignment horizontal="left"/>
    </xf>
    <xf numFmtId="0" fontId="11" fillId="0" borderId="0" xfId="0" applyFont="1" applyAlignment="1">
      <alignment horizontal="left" wrapText="1"/>
    </xf>
    <xf numFmtId="0" fontId="11" fillId="0" borderId="0" xfId="0" applyFont="1" applyAlignment="1">
      <alignment horizontal="left"/>
    </xf>
    <xf numFmtId="0" fontId="11" fillId="0" borderId="0" xfId="0" applyFont="1"/>
    <xf numFmtId="164" fontId="11" fillId="0" borderId="0" xfId="0" applyNumberFormat="1" applyFont="1"/>
    <xf numFmtId="170" fontId="15" fillId="0" borderId="0" xfId="0" applyNumberFormat="1" applyFont="1" applyAlignment="1">
      <alignment horizontal="right"/>
    </xf>
    <xf numFmtId="166" fontId="2" fillId="0" borderId="17" xfId="2" applyNumberFormat="1" applyBorder="1" applyAlignment="1">
      <alignment vertical="center"/>
    </xf>
    <xf numFmtId="1" fontId="3" fillId="0" borderId="0" xfId="0" applyNumberFormat="1" applyFont="1" applyAlignment="1">
      <alignment vertical="center"/>
    </xf>
    <xf numFmtId="0" fontId="3" fillId="0" borderId="0" xfId="0" applyFont="1" applyAlignment="1">
      <alignment vertical="center"/>
    </xf>
    <xf numFmtId="0" fontId="2" fillId="0" borderId="0" xfId="2"/>
    <xf numFmtId="0" fontId="2" fillId="0" borderId="0" xfId="2" applyAlignment="1">
      <alignment horizontal="center" vertical="top"/>
    </xf>
    <xf numFmtId="0" fontId="2" fillId="0" borderId="2" xfId="2" applyBorder="1" applyAlignment="1">
      <alignment horizontal="center" vertical="top"/>
    </xf>
    <xf numFmtId="166" fontId="2" fillId="0" borderId="0" xfId="2" applyNumberFormat="1" applyAlignment="1">
      <alignment vertical="top"/>
    </xf>
    <xf numFmtId="166" fontId="2" fillId="0" borderId="9" xfId="2" applyNumberFormat="1" applyBorder="1" applyAlignment="1">
      <alignment vertical="top"/>
    </xf>
    <xf numFmtId="0" fontId="2" fillId="0" borderId="12" xfId="0" quotePrefix="1" applyFont="1" applyBorder="1" applyAlignment="1">
      <alignment horizontal="left" vertical="top" indent="3"/>
    </xf>
    <xf numFmtId="0" fontId="2" fillId="0" borderId="12" xfId="0" quotePrefix="1" applyFont="1" applyBorder="1" applyAlignment="1">
      <alignment horizontal="center" vertical="top"/>
    </xf>
    <xf numFmtId="0" fontId="1" fillId="0" borderId="12" xfId="0" applyFont="1" applyBorder="1" applyAlignment="1">
      <alignment horizontal="right" vertical="center"/>
    </xf>
    <xf numFmtId="0" fontId="1" fillId="0" borderId="0" xfId="0" applyFont="1" applyAlignment="1">
      <alignment horizontal="right" vertical="center"/>
    </xf>
    <xf numFmtId="0" fontId="1" fillId="0" borderId="21" xfId="0" applyFont="1" applyBorder="1" applyAlignment="1">
      <alignment horizontal="right" vertical="center"/>
    </xf>
    <xf numFmtId="166" fontId="1" fillId="0" borderId="9" xfId="0" applyNumberFormat="1" applyFont="1" applyBorder="1" applyAlignment="1">
      <alignment vertical="center"/>
    </xf>
    <xf numFmtId="0" fontId="1" fillId="0" borderId="12" xfId="0" quotePrefix="1" applyFont="1" applyBorder="1" applyAlignment="1">
      <alignment horizontal="left" vertical="top" indent="1"/>
    </xf>
    <xf numFmtId="165" fontId="2" fillId="0" borderId="9" xfId="0" applyNumberFormat="1" applyFont="1" applyBorder="1" applyAlignment="1">
      <alignment horizontal="center"/>
    </xf>
    <xf numFmtId="0" fontId="1" fillId="0" borderId="12" xfId="0" quotePrefix="1" applyFont="1" applyBorder="1" applyAlignment="1">
      <alignment horizontal="center" vertical="top"/>
    </xf>
    <xf numFmtId="0" fontId="2" fillId="0" borderId="12" xfId="0" applyFont="1" applyBorder="1" applyAlignment="1">
      <alignment horizontal="center"/>
    </xf>
    <xf numFmtId="0" fontId="2" fillId="0" borderId="2" xfId="0" applyFont="1" applyBorder="1"/>
    <xf numFmtId="0" fontId="2" fillId="0" borderId="12" xfId="0" applyFont="1" applyBorder="1" applyAlignment="1">
      <alignment horizontal="left" indent="2"/>
    </xf>
    <xf numFmtId="0" fontId="2" fillId="0" borderId="6" xfId="0" applyFont="1" applyBorder="1"/>
    <xf numFmtId="166" fontId="2" fillId="0" borderId="9" xfId="2" applyNumberFormat="1" applyBorder="1" applyAlignment="1">
      <alignment horizontal="center" vertical="top"/>
    </xf>
    <xf numFmtId="0" fontId="1" fillId="0" borderId="0" xfId="0" applyFont="1" applyAlignment="1">
      <alignment horizontal="left"/>
    </xf>
    <xf numFmtId="0" fontId="2" fillId="0" borderId="0" xfId="0" applyFont="1" applyAlignment="1">
      <alignment horizontal="left" vertical="top" wrapText="1"/>
    </xf>
    <xf numFmtId="0" fontId="1" fillId="0" borderId="0" xfId="0" applyFont="1" applyAlignment="1">
      <alignment horizontal="right"/>
    </xf>
    <xf numFmtId="0" fontId="2" fillId="0" borderId="22" xfId="0" applyFont="1" applyBorder="1"/>
    <xf numFmtId="0" fontId="2" fillId="0" borderId="22" xfId="0" applyFont="1" applyBorder="1" applyAlignment="1">
      <alignment horizontal="center" vertical="top"/>
    </xf>
    <xf numFmtId="0" fontId="2" fillId="0" borderId="22" xfId="0" applyFont="1" applyBorder="1" applyAlignment="1">
      <alignment horizontal="left" vertical="top" wrapText="1"/>
    </xf>
    <xf numFmtId="166" fontId="2" fillId="0" borderId="22" xfId="0" applyNumberFormat="1" applyFont="1" applyBorder="1" applyAlignment="1">
      <alignment vertical="top"/>
    </xf>
    <xf numFmtId="171" fontId="2" fillId="0" borderId="0" xfId="6" applyNumberFormat="1" applyFont="1" applyFill="1" applyAlignment="1">
      <alignment horizontal="right" vertical="center"/>
    </xf>
    <xf numFmtId="0" fontId="1" fillId="0" borderId="0" xfId="0" applyFont="1" applyAlignment="1">
      <alignment horizontal="left" vertical="center"/>
    </xf>
    <xf numFmtId="166" fontId="1" fillId="0" borderId="0" xfId="0" applyNumberFormat="1" applyFont="1" applyAlignment="1">
      <alignment horizontal="right" vertical="center"/>
    </xf>
    <xf numFmtId="171" fontId="1" fillId="0" borderId="19" xfId="6" applyNumberFormat="1" applyFont="1" applyFill="1" applyBorder="1" applyAlignment="1">
      <alignment horizontal="right" vertical="center"/>
    </xf>
    <xf numFmtId="166" fontId="2" fillId="0" borderId="0" xfId="0" applyNumberFormat="1" applyFont="1" applyAlignment="1">
      <alignment horizontal="right" vertical="center"/>
    </xf>
    <xf numFmtId="166" fontId="12" fillId="0" borderId="0" xfId="0" applyNumberFormat="1" applyFont="1" applyAlignment="1">
      <alignment horizontal="right" vertical="center"/>
    </xf>
    <xf numFmtId="171" fontId="12" fillId="0" borderId="34" xfId="6" applyNumberFormat="1" applyFont="1" applyFill="1" applyBorder="1" applyAlignment="1">
      <alignment horizontal="right" vertical="center"/>
    </xf>
    <xf numFmtId="0" fontId="1" fillId="0" borderId="23" xfId="0" applyFont="1" applyBorder="1" applyAlignment="1">
      <alignment horizontal="left"/>
    </xf>
    <xf numFmtId="0" fontId="2" fillId="0" borderId="23" xfId="0" applyFont="1" applyBorder="1" applyAlignment="1">
      <alignment horizontal="left" vertical="top" wrapText="1"/>
    </xf>
    <xf numFmtId="0" fontId="1" fillId="0" borderId="23" xfId="0" applyFont="1" applyBorder="1" applyAlignment="1">
      <alignment horizontal="right"/>
    </xf>
    <xf numFmtId="0" fontId="17" fillId="0" borderId="0" xfId="2" applyFont="1" applyAlignment="1">
      <alignment horizontal="left" vertical="top"/>
    </xf>
    <xf numFmtId="0" fontId="2" fillId="0" borderId="0" xfId="2" applyAlignment="1">
      <alignment horizontal="left" vertical="top" wrapText="1"/>
    </xf>
    <xf numFmtId="168" fontId="2" fillId="0" borderId="0" xfId="5" applyFont="1"/>
    <xf numFmtId="169" fontId="2" fillId="0" borderId="0" xfId="5" applyNumberFormat="1" applyFont="1" applyAlignment="1">
      <alignment horizontal="left" vertical="top"/>
    </xf>
    <xf numFmtId="168" fontId="2" fillId="0" borderId="0" xfId="5" applyFont="1" applyAlignment="1">
      <alignment vertical="top" wrapText="1"/>
    </xf>
    <xf numFmtId="169" fontId="2" fillId="0" borderId="0" xfId="5" applyNumberFormat="1" applyFont="1" applyAlignment="1">
      <alignment horizontal="center" vertical="top"/>
    </xf>
    <xf numFmtId="168" fontId="2" fillId="0" borderId="0" xfId="5" applyFont="1" applyAlignment="1">
      <alignment horizontal="left" vertical="top"/>
    </xf>
    <xf numFmtId="169" fontId="2" fillId="0" borderId="0" xfId="5" applyNumberFormat="1" applyFont="1" applyAlignment="1">
      <alignment vertical="top"/>
    </xf>
    <xf numFmtId="168" fontId="2" fillId="0" borderId="0" xfId="5" applyFont="1" applyAlignment="1">
      <alignment vertical="top"/>
    </xf>
    <xf numFmtId="168" fontId="2" fillId="0" borderId="21" xfId="5" applyFont="1" applyBorder="1"/>
    <xf numFmtId="0" fontId="2" fillId="0" borderId="22" xfId="0" applyFont="1" applyBorder="1" applyAlignment="1">
      <alignment horizontal="center" vertical="center"/>
    </xf>
    <xf numFmtId="169" fontId="2" fillId="0" borderId="0" xfId="0" applyNumberFormat="1" applyFont="1" applyAlignment="1">
      <alignment vertical="top"/>
    </xf>
    <xf numFmtId="0" fontId="2" fillId="0" borderId="21" xfId="0" applyFont="1" applyBorder="1" applyAlignment="1">
      <alignment vertical="center"/>
    </xf>
    <xf numFmtId="0" fontId="2" fillId="0" borderId="20" xfId="0" applyFont="1" applyBorder="1" applyAlignment="1">
      <alignment horizontal="center" vertical="top"/>
    </xf>
    <xf numFmtId="0" fontId="2" fillId="0" borderId="20" xfId="0" applyFont="1" applyBorder="1"/>
    <xf numFmtId="169" fontId="2" fillId="0" borderId="0" xfId="0" applyNumberFormat="1" applyFont="1" applyAlignment="1">
      <alignment horizontal="left" vertical="top"/>
    </xf>
    <xf numFmtId="0" fontId="2" fillId="0" borderId="0" xfId="0" applyFont="1" applyAlignment="1">
      <alignment horizontal="left"/>
    </xf>
    <xf numFmtId="168" fontId="2" fillId="0" borderId="20" xfId="5" applyFont="1" applyBorder="1" applyAlignment="1">
      <alignment vertical="top"/>
    </xf>
    <xf numFmtId="168" fontId="2" fillId="0" borderId="0" xfId="5" applyFont="1" applyAlignment="1">
      <alignment horizontal="center" vertical="top"/>
    </xf>
    <xf numFmtId="169" fontId="2" fillId="0" borderId="23" xfId="0" applyNumberFormat="1" applyFont="1" applyBorder="1" applyAlignment="1">
      <alignment vertical="top"/>
    </xf>
    <xf numFmtId="0" fontId="2" fillId="0" borderId="23" xfId="0" applyFont="1" applyBorder="1" applyAlignment="1">
      <alignment vertical="top"/>
    </xf>
    <xf numFmtId="168" fontId="2" fillId="0" borderId="23" xfId="5" applyFont="1" applyBorder="1" applyAlignment="1">
      <alignment vertical="top"/>
    </xf>
    <xf numFmtId="168" fontId="2" fillId="0" borderId="23" xfId="5" applyFont="1" applyBorder="1"/>
    <xf numFmtId="0" fontId="2" fillId="0" borderId="36" xfId="0" applyFont="1" applyBorder="1" applyAlignment="1">
      <alignment horizontal="left" vertical="top"/>
    </xf>
    <xf numFmtId="0" fontId="2" fillId="0" borderId="0" xfId="0" applyFont="1" applyAlignment="1">
      <alignment horizontal="left" vertical="top"/>
    </xf>
    <xf numFmtId="168" fontId="1" fillId="0" borderId="0" xfId="5" applyFont="1" applyAlignment="1">
      <alignment vertical="top"/>
    </xf>
    <xf numFmtId="169" fontId="2" fillId="0" borderId="0" xfId="5" quotePrefix="1" applyNumberFormat="1" applyFont="1" applyAlignment="1">
      <alignment horizontal="left" vertical="top"/>
    </xf>
    <xf numFmtId="169" fontId="2" fillId="0" borderId="0" xfId="5" applyNumberFormat="1" applyFont="1" applyAlignment="1">
      <alignment horizontal="left" vertical="top"/>
    </xf>
    <xf numFmtId="0" fontId="16" fillId="0" borderId="0" xfId="2" applyFont="1" applyAlignment="1">
      <alignment horizontal="left" vertical="top"/>
    </xf>
    <xf numFmtId="2" fontId="1" fillId="0" borderId="0" xfId="2" applyNumberFormat="1" applyFont="1" applyAlignment="1">
      <alignment horizontal="left"/>
    </xf>
    <xf numFmtId="0" fontId="1" fillId="0" borderId="12" xfId="0" applyFont="1" applyBorder="1" applyAlignment="1">
      <alignment horizontal="right" vertical="center" indent="1"/>
    </xf>
    <xf numFmtId="0" fontId="1" fillId="0" borderId="0" xfId="0" applyFont="1" applyAlignment="1">
      <alignment horizontal="right" vertical="center" indent="1"/>
    </xf>
    <xf numFmtId="0" fontId="1" fillId="0" borderId="21" xfId="0" applyFont="1" applyBorder="1" applyAlignment="1">
      <alignment horizontal="right" vertical="center" indent="1"/>
    </xf>
    <xf numFmtId="0" fontId="6" fillId="0" borderId="13" xfId="0" applyFont="1" applyBorder="1" applyAlignment="1">
      <alignment horizontal="right" vertical="center" wrapText="1"/>
    </xf>
    <xf numFmtId="0" fontId="6" fillId="0" borderId="18" xfId="0" applyFont="1" applyBorder="1" applyAlignment="1">
      <alignment horizontal="right" vertical="center" wrapText="1"/>
    </xf>
    <xf numFmtId="0" fontId="6" fillId="0" borderId="15" xfId="0" applyFont="1" applyBorder="1" applyAlignment="1">
      <alignment horizontal="right" vertical="center" wrapText="1"/>
    </xf>
    <xf numFmtId="0" fontId="2" fillId="0" borderId="29" xfId="2" applyBorder="1" applyAlignment="1">
      <alignment horizontal="right" vertical="center" wrapText="1"/>
    </xf>
    <xf numFmtId="0" fontId="2" fillId="0" borderId="19" xfId="2" applyBorder="1" applyAlignment="1">
      <alignment horizontal="right" vertical="center" wrapText="1"/>
    </xf>
    <xf numFmtId="0" fontId="2" fillId="0" borderId="16" xfId="2" applyBorder="1" applyAlignment="1">
      <alignment horizontal="right" vertical="center" wrapText="1"/>
    </xf>
    <xf numFmtId="0" fontId="2" fillId="0" borderId="24" xfId="0" applyFont="1" applyBorder="1" applyAlignment="1">
      <alignment horizontal="center" vertical="center"/>
    </xf>
    <xf numFmtId="0" fontId="2" fillId="0" borderId="22"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0" xfId="0" applyFont="1" applyAlignment="1">
      <alignment horizontal="center" vertical="center"/>
    </xf>
    <xf numFmtId="0" fontId="2" fillId="0" borderId="21" xfId="0" applyFont="1" applyBorder="1" applyAlignment="1">
      <alignment horizontal="center" vertical="center"/>
    </xf>
    <xf numFmtId="0" fontId="2" fillId="0" borderId="27" xfId="0" applyFont="1" applyBorder="1" applyAlignment="1">
      <alignment horizontal="center" vertical="center"/>
    </xf>
    <xf numFmtId="0" fontId="2" fillId="0" borderId="23" xfId="0" applyFont="1" applyBorder="1" applyAlignment="1">
      <alignment horizontal="center" vertical="center"/>
    </xf>
    <xf numFmtId="0" fontId="2" fillId="0" borderId="28" xfId="0" applyFont="1" applyBorder="1" applyAlignment="1">
      <alignment horizontal="center" vertical="center"/>
    </xf>
    <xf numFmtId="168" fontId="2" fillId="0" borderId="0" xfId="5" applyFont="1" applyAlignment="1">
      <alignment horizontal="left" vertical="top" wrapText="1" indent="1"/>
    </xf>
    <xf numFmtId="0" fontId="2" fillId="0" borderId="0" xfId="0" applyFont="1" applyAlignment="1">
      <alignment horizontal="right" vertical="center" indent="1"/>
    </xf>
  </cellXfs>
  <cellStyles count="7">
    <cellStyle name="Currency" xfId="6" builtinId="4"/>
    <cellStyle name="Currency 2" xfId="1" xr:uid="{00000000-0005-0000-0000-000000000000}"/>
    <cellStyle name="Normal" xfId="0" builtinId="0"/>
    <cellStyle name="Normal 2" xfId="2" xr:uid="{00000000-0005-0000-0000-000002000000}"/>
    <cellStyle name="Normal 4" xfId="4" xr:uid="{A4536612-2423-4085-BA0D-F6131454C0CB}"/>
    <cellStyle name="Normal_Bill 6 General Electrical P.R" xfId="3" xr:uid="{5AA0E6ED-41AA-435F-A1F2-2B74DE8ABEF9}"/>
    <cellStyle name="Normal_Vista BILL SUM1" xfId="5" xr:uid="{1E1C6B67-A604-456A-A3AD-482738BAA3E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86F6-D2AC-4204-975A-44619CF8804A}">
  <sheetPr>
    <tabColor rgb="FF00B050"/>
    <pageSetUpPr fitToPage="1"/>
  </sheetPr>
  <dimension ref="A1:I329"/>
  <sheetViews>
    <sheetView tabSelected="1" zoomScaleNormal="100" zoomScaleSheetLayoutView="115" zoomScalePageLayoutView="70" workbookViewId="0">
      <selection activeCell="F9" sqref="F9"/>
    </sheetView>
  </sheetViews>
  <sheetFormatPr defaultColWidth="3.28515625" defaultRowHeight="12.75" x14ac:dyDescent="0.2"/>
  <cols>
    <col min="1" max="1" width="2" style="60" customWidth="1"/>
    <col min="2" max="2" width="12.5703125" style="23" customWidth="1"/>
    <col min="3" max="3" width="47.28515625" style="125" customWidth="1"/>
    <col min="4" max="4" width="7.28515625" style="23" customWidth="1"/>
    <col min="5" max="5" width="8.28515625" style="23" customWidth="1"/>
    <col min="6" max="6" width="13.28515625" style="50" customWidth="1"/>
    <col min="7" max="7" width="15.140625" style="50" customWidth="1"/>
    <col min="8" max="8" width="1.140625" style="60" customWidth="1"/>
    <col min="9" max="9" width="1.7109375" style="60" customWidth="1"/>
    <col min="10" max="16384" width="3.28515625" style="60"/>
  </cols>
  <sheetData>
    <row r="1" spans="1:9" s="1" customFormat="1" x14ac:dyDescent="0.2">
      <c r="B1" s="170" t="s">
        <v>132</v>
      </c>
      <c r="C1" s="170"/>
      <c r="D1" s="170"/>
      <c r="E1" s="170"/>
      <c r="F1" s="170"/>
      <c r="G1" s="170"/>
      <c r="I1" s="2"/>
    </row>
    <row r="2" spans="1:9" s="7" customFormat="1" ht="13.5" thickBot="1" x14ac:dyDescent="0.25">
      <c r="A2" s="3" t="s">
        <v>131</v>
      </c>
      <c r="B2" s="4"/>
      <c r="C2" s="5"/>
      <c r="D2" s="4"/>
      <c r="E2" s="4"/>
      <c r="F2" s="6"/>
      <c r="G2" s="6"/>
    </row>
    <row r="3" spans="1:9" s="15" customFormat="1" ht="19.5" customHeight="1" thickBot="1" x14ac:dyDescent="0.25">
      <c r="A3" s="8"/>
      <c r="B3" s="9" t="s">
        <v>0</v>
      </c>
      <c r="C3" s="10" t="s">
        <v>1</v>
      </c>
      <c r="D3" s="11" t="s">
        <v>2</v>
      </c>
      <c r="E3" s="12" t="s">
        <v>3</v>
      </c>
      <c r="F3" s="13" t="s">
        <v>4</v>
      </c>
      <c r="G3" s="14" t="s">
        <v>5</v>
      </c>
    </row>
    <row r="4" spans="1:9" s="7" customFormat="1" ht="9.9499999999999993" customHeight="1" x14ac:dyDescent="0.2">
      <c r="B4" s="16"/>
      <c r="C4" s="17"/>
      <c r="D4" s="18"/>
      <c r="E4" s="18"/>
      <c r="F4" s="19"/>
      <c r="G4" s="20" t="s">
        <v>11</v>
      </c>
    </row>
    <row r="5" spans="1:9" s="7" customFormat="1" x14ac:dyDescent="0.2">
      <c r="B5" s="21">
        <v>1</v>
      </c>
      <c r="C5" s="22" t="s">
        <v>93</v>
      </c>
      <c r="D5" s="23"/>
      <c r="E5" s="24"/>
      <c r="F5" s="25"/>
      <c r="G5" s="26"/>
    </row>
    <row r="6" spans="1:9" s="7" customFormat="1" ht="25.5" x14ac:dyDescent="0.2">
      <c r="B6" s="27"/>
      <c r="C6" s="28" t="s">
        <v>96</v>
      </c>
      <c r="D6" s="23"/>
      <c r="E6" s="24"/>
      <c r="F6" s="25"/>
      <c r="G6" s="26"/>
    </row>
    <row r="7" spans="1:9" s="7" customFormat="1" x14ac:dyDescent="0.2">
      <c r="B7" s="27"/>
      <c r="C7" s="29"/>
      <c r="D7" s="23"/>
      <c r="E7" s="24"/>
      <c r="F7" s="25"/>
      <c r="G7" s="26"/>
    </row>
    <row r="8" spans="1:9" s="7" customFormat="1" ht="38.25" x14ac:dyDescent="0.2">
      <c r="B8" s="30">
        <v>1.1000000000000001</v>
      </c>
      <c r="C8" s="22" t="s">
        <v>92</v>
      </c>
      <c r="D8" s="23"/>
      <c r="E8" s="24"/>
      <c r="F8" s="25"/>
      <c r="G8" s="26"/>
    </row>
    <row r="9" spans="1:9" s="7" customFormat="1" x14ac:dyDescent="0.2">
      <c r="B9" s="31" t="s">
        <v>25</v>
      </c>
      <c r="C9" s="28" t="s">
        <v>81</v>
      </c>
      <c r="D9" s="23" t="s">
        <v>6</v>
      </c>
      <c r="E9" s="24">
        <v>1</v>
      </c>
      <c r="F9" s="25">
        <v>0</v>
      </c>
      <c r="G9" s="26">
        <v>0</v>
      </c>
    </row>
    <row r="10" spans="1:9" s="7" customFormat="1" x14ac:dyDescent="0.2">
      <c r="B10" s="30"/>
      <c r="C10" s="29"/>
      <c r="D10" s="23"/>
      <c r="E10" s="24"/>
      <c r="F10" s="25"/>
      <c r="G10" s="26"/>
    </row>
    <row r="11" spans="1:9" s="7" customFormat="1" x14ac:dyDescent="0.2">
      <c r="B11" s="30">
        <v>1.2</v>
      </c>
      <c r="C11" s="22" t="s">
        <v>82</v>
      </c>
      <c r="D11" s="23"/>
      <c r="E11" s="24"/>
      <c r="F11" s="25"/>
      <c r="G11" s="26"/>
    </row>
    <row r="12" spans="1:9" s="7" customFormat="1" ht="25.5" x14ac:dyDescent="0.2">
      <c r="B12" s="30"/>
      <c r="C12" s="28" t="s">
        <v>94</v>
      </c>
      <c r="D12" s="23"/>
      <c r="E12" s="24"/>
      <c r="F12" s="25"/>
      <c r="G12" s="26"/>
    </row>
    <row r="13" spans="1:9" s="7" customFormat="1" x14ac:dyDescent="0.2">
      <c r="B13" s="31" t="s">
        <v>26</v>
      </c>
      <c r="C13" s="28" t="s">
        <v>81</v>
      </c>
      <c r="D13" s="23" t="s">
        <v>6</v>
      </c>
      <c r="E13" s="24">
        <v>1</v>
      </c>
      <c r="F13" s="25">
        <v>0</v>
      </c>
      <c r="G13" s="26">
        <v>0</v>
      </c>
    </row>
    <row r="14" spans="1:9" s="7" customFormat="1" x14ac:dyDescent="0.2">
      <c r="B14" s="30"/>
      <c r="C14" s="29"/>
      <c r="D14" s="23"/>
      <c r="E14" s="24"/>
      <c r="F14" s="25"/>
      <c r="G14" s="26"/>
    </row>
    <row r="15" spans="1:9" s="7" customFormat="1" ht="67.5" customHeight="1" x14ac:dyDescent="0.2">
      <c r="B15" s="30">
        <v>1.3</v>
      </c>
      <c r="C15" s="22" t="s">
        <v>83</v>
      </c>
      <c r="D15" s="23"/>
      <c r="E15" s="24"/>
      <c r="F15" s="25"/>
      <c r="G15" s="26"/>
    </row>
    <row r="16" spans="1:9" s="7" customFormat="1" x14ac:dyDescent="0.2">
      <c r="B16" s="30"/>
      <c r="C16" s="29"/>
      <c r="D16" s="23"/>
      <c r="E16" s="24"/>
      <c r="F16" s="25"/>
      <c r="G16" s="26"/>
    </row>
    <row r="17" spans="2:7" s="7" customFormat="1" x14ac:dyDescent="0.2">
      <c r="B17" s="31" t="s">
        <v>84</v>
      </c>
      <c r="C17" s="28" t="s">
        <v>81</v>
      </c>
      <c r="D17" s="23" t="s">
        <v>6</v>
      </c>
      <c r="E17" s="24">
        <v>1</v>
      </c>
      <c r="F17" s="25">
        <v>0</v>
      </c>
      <c r="G17" s="26">
        <v>0</v>
      </c>
    </row>
    <row r="18" spans="2:7" s="7" customFormat="1" x14ac:dyDescent="0.2">
      <c r="B18" s="31"/>
      <c r="C18" s="28"/>
      <c r="D18" s="23"/>
      <c r="E18" s="24"/>
      <c r="F18" s="25"/>
      <c r="G18" s="26"/>
    </row>
    <row r="19" spans="2:7" s="7" customFormat="1" x14ac:dyDescent="0.2">
      <c r="B19" s="31" t="s">
        <v>85</v>
      </c>
      <c r="C19" s="28" t="s">
        <v>86</v>
      </c>
      <c r="D19" s="23" t="s">
        <v>87</v>
      </c>
      <c r="E19" s="24">
        <v>3</v>
      </c>
      <c r="F19" s="25">
        <v>0</v>
      </c>
      <c r="G19" s="26">
        <v>0</v>
      </c>
    </row>
    <row r="20" spans="2:7" s="7" customFormat="1" x14ac:dyDescent="0.2">
      <c r="B20" s="30"/>
      <c r="C20" s="29"/>
      <c r="D20" s="23"/>
      <c r="E20" s="24"/>
      <c r="F20" s="25"/>
      <c r="G20" s="26"/>
    </row>
    <row r="21" spans="2:7" s="7" customFormat="1" x14ac:dyDescent="0.2">
      <c r="B21" s="30">
        <v>1.4</v>
      </c>
      <c r="C21" s="22" t="s">
        <v>95</v>
      </c>
      <c r="D21" s="23"/>
      <c r="E21" s="24"/>
      <c r="F21" s="25"/>
      <c r="G21" s="26"/>
    </row>
    <row r="22" spans="2:7" s="7" customFormat="1" x14ac:dyDescent="0.2">
      <c r="B22" s="31" t="s">
        <v>88</v>
      </c>
      <c r="C22" s="29" t="s">
        <v>81</v>
      </c>
      <c r="D22" s="23" t="s">
        <v>6</v>
      </c>
      <c r="E22" s="24">
        <v>1</v>
      </c>
      <c r="F22" s="25">
        <v>0</v>
      </c>
      <c r="G22" s="26">
        <v>0</v>
      </c>
    </row>
    <row r="23" spans="2:7" s="7" customFormat="1" x14ac:dyDescent="0.2">
      <c r="B23" s="31"/>
      <c r="C23" s="29"/>
      <c r="D23" s="23"/>
      <c r="E23" s="24"/>
      <c r="F23" s="25"/>
      <c r="G23" s="26"/>
    </row>
    <row r="24" spans="2:7" s="7" customFormat="1" x14ac:dyDescent="0.2">
      <c r="B24" s="31" t="s">
        <v>89</v>
      </c>
      <c r="C24" s="29" t="s">
        <v>86</v>
      </c>
      <c r="D24" s="23" t="s">
        <v>87</v>
      </c>
      <c r="E24" s="24">
        <v>3</v>
      </c>
      <c r="F24" s="25">
        <v>0</v>
      </c>
      <c r="G24" s="26">
        <v>0</v>
      </c>
    </row>
    <row r="25" spans="2:7" s="7" customFormat="1" x14ac:dyDescent="0.2">
      <c r="B25" s="30"/>
      <c r="C25" s="29"/>
      <c r="D25" s="23"/>
      <c r="E25" s="24"/>
      <c r="F25" s="25"/>
      <c r="G25" s="26"/>
    </row>
    <row r="26" spans="2:7" s="7" customFormat="1" ht="25.5" x14ac:dyDescent="0.2">
      <c r="B26" s="30">
        <v>1.5</v>
      </c>
      <c r="C26" s="29" t="s">
        <v>90</v>
      </c>
      <c r="D26" s="32" t="s">
        <v>91</v>
      </c>
      <c r="E26" s="24">
        <v>1</v>
      </c>
      <c r="F26" s="25">
        <v>25000</v>
      </c>
      <c r="G26" s="26">
        <f>F26*E26</f>
        <v>25000</v>
      </c>
    </row>
    <row r="27" spans="2:7" s="7" customFormat="1" x14ac:dyDescent="0.2">
      <c r="B27" s="30"/>
      <c r="C27" s="29"/>
      <c r="D27" s="32"/>
      <c r="E27" s="24"/>
      <c r="F27" s="25"/>
      <c r="G27" s="26"/>
    </row>
    <row r="28" spans="2:7" s="7" customFormat="1" x14ac:dyDescent="0.2">
      <c r="B28" s="30"/>
      <c r="C28" s="29"/>
      <c r="D28" s="32"/>
      <c r="E28" s="24"/>
      <c r="F28" s="25"/>
      <c r="G28" s="26"/>
    </row>
    <row r="29" spans="2:7" s="7" customFormat="1" x14ac:dyDescent="0.2">
      <c r="B29" s="30"/>
      <c r="C29" s="29"/>
      <c r="D29" s="32"/>
      <c r="E29" s="24"/>
      <c r="F29" s="25"/>
      <c r="G29" s="26"/>
    </row>
    <row r="30" spans="2:7" s="7" customFormat="1" x14ac:dyDescent="0.2">
      <c r="B30" s="30"/>
      <c r="C30" s="29"/>
      <c r="D30" s="32"/>
      <c r="E30" s="24"/>
      <c r="F30" s="25"/>
      <c r="G30" s="26"/>
    </row>
    <row r="31" spans="2:7" s="7" customFormat="1" x14ac:dyDescent="0.2">
      <c r="B31" s="30"/>
      <c r="C31" s="29"/>
      <c r="D31" s="32"/>
      <c r="E31" s="24"/>
      <c r="F31" s="25"/>
      <c r="G31" s="26"/>
    </row>
    <row r="32" spans="2:7" s="7" customFormat="1" x14ac:dyDescent="0.2">
      <c r="B32" s="30"/>
      <c r="C32" s="29"/>
      <c r="D32" s="32"/>
      <c r="E32" s="24"/>
      <c r="F32" s="25"/>
      <c r="G32" s="26"/>
    </row>
    <row r="33" spans="2:7" s="7" customFormat="1" x14ac:dyDescent="0.2">
      <c r="B33" s="30"/>
      <c r="C33" s="29"/>
      <c r="D33" s="32"/>
      <c r="E33" s="24"/>
      <c r="F33" s="25"/>
      <c r="G33" s="26"/>
    </row>
    <row r="34" spans="2:7" s="7" customFormat="1" x14ac:dyDescent="0.2">
      <c r="B34" s="30"/>
      <c r="C34" s="29"/>
      <c r="D34" s="32"/>
      <c r="E34" s="24"/>
      <c r="F34" s="25"/>
      <c r="G34" s="26"/>
    </row>
    <row r="35" spans="2:7" s="7" customFormat="1" x14ac:dyDescent="0.2">
      <c r="B35" s="30"/>
      <c r="C35" s="29"/>
      <c r="D35" s="32"/>
      <c r="E35" s="24"/>
      <c r="F35" s="25"/>
      <c r="G35" s="26"/>
    </row>
    <row r="36" spans="2:7" s="7" customFormat="1" x14ac:dyDescent="0.2">
      <c r="B36" s="30"/>
      <c r="C36" s="29"/>
      <c r="D36" s="32"/>
      <c r="E36" s="24"/>
      <c r="F36" s="25"/>
      <c r="G36" s="26"/>
    </row>
    <row r="37" spans="2:7" s="7" customFormat="1" x14ac:dyDescent="0.2">
      <c r="B37" s="30"/>
      <c r="C37" s="29"/>
      <c r="D37" s="32"/>
      <c r="E37" s="24"/>
      <c r="F37" s="25"/>
      <c r="G37" s="26"/>
    </row>
    <row r="38" spans="2:7" s="7" customFormat="1" x14ac:dyDescent="0.2">
      <c r="B38" s="30"/>
      <c r="C38" s="29"/>
      <c r="D38" s="32"/>
      <c r="E38" s="24"/>
      <c r="F38" s="25"/>
      <c r="G38" s="26"/>
    </row>
    <row r="39" spans="2:7" s="7" customFormat="1" x14ac:dyDescent="0.2">
      <c r="B39" s="30"/>
      <c r="C39" s="29"/>
      <c r="D39" s="32"/>
      <c r="E39" s="24"/>
      <c r="F39" s="25"/>
      <c r="G39" s="26"/>
    </row>
    <row r="40" spans="2:7" s="7" customFormat="1" x14ac:dyDescent="0.2">
      <c r="B40" s="30"/>
      <c r="C40" s="29"/>
      <c r="D40" s="32"/>
      <c r="E40" s="24"/>
      <c r="F40" s="25"/>
      <c r="G40" s="26"/>
    </row>
    <row r="41" spans="2:7" s="7" customFormat="1" x14ac:dyDescent="0.2">
      <c r="B41" s="30"/>
      <c r="C41" s="29"/>
      <c r="D41" s="32"/>
      <c r="E41" s="24"/>
      <c r="F41" s="25"/>
      <c r="G41" s="26"/>
    </row>
    <row r="42" spans="2:7" s="7" customFormat="1" x14ac:dyDescent="0.2">
      <c r="B42" s="30"/>
      <c r="C42" s="29"/>
      <c r="D42" s="32"/>
      <c r="E42" s="24"/>
      <c r="F42" s="25"/>
      <c r="G42" s="26"/>
    </row>
    <row r="43" spans="2:7" s="7" customFormat="1" x14ac:dyDescent="0.2">
      <c r="B43" s="30"/>
      <c r="C43" s="29"/>
      <c r="D43" s="32"/>
      <c r="E43" s="24"/>
      <c r="F43" s="25"/>
      <c r="G43" s="26"/>
    </row>
    <row r="44" spans="2:7" s="7" customFormat="1" x14ac:dyDescent="0.2">
      <c r="B44" s="30"/>
      <c r="C44" s="29"/>
      <c r="D44" s="32"/>
      <c r="E44" s="24"/>
      <c r="F44" s="25"/>
      <c r="G44" s="26"/>
    </row>
    <row r="45" spans="2:7" s="7" customFormat="1" x14ac:dyDescent="0.2">
      <c r="B45" s="30"/>
      <c r="C45" s="29"/>
      <c r="D45" s="32"/>
      <c r="E45" s="24"/>
      <c r="F45" s="25"/>
      <c r="G45" s="26"/>
    </row>
    <row r="46" spans="2:7" s="7" customFormat="1" x14ac:dyDescent="0.2">
      <c r="B46" s="30"/>
      <c r="C46" s="29"/>
      <c r="D46" s="32"/>
      <c r="E46" s="24"/>
      <c r="F46" s="25"/>
      <c r="G46" s="26"/>
    </row>
    <row r="47" spans="2:7" s="7" customFormat="1" x14ac:dyDescent="0.2">
      <c r="B47" s="30"/>
      <c r="C47" s="29"/>
      <c r="D47" s="32"/>
      <c r="E47" s="24"/>
      <c r="F47" s="25"/>
      <c r="G47" s="26"/>
    </row>
    <row r="48" spans="2:7" s="7" customFormat="1" x14ac:dyDescent="0.2">
      <c r="B48" s="30"/>
      <c r="C48" s="29"/>
      <c r="D48" s="32"/>
      <c r="E48" s="24"/>
      <c r="F48" s="25"/>
      <c r="G48" s="26"/>
    </row>
    <row r="49" spans="1:9" s="7" customFormat="1" x14ac:dyDescent="0.2">
      <c r="B49" s="30"/>
      <c r="C49" s="29"/>
      <c r="D49" s="32"/>
      <c r="E49" s="24"/>
      <c r="F49" s="25"/>
      <c r="G49" s="26"/>
    </row>
    <row r="50" spans="1:9" s="7" customFormat="1" x14ac:dyDescent="0.2">
      <c r="B50" s="30"/>
      <c r="C50" s="29"/>
      <c r="D50" s="32"/>
      <c r="E50" s="24"/>
      <c r="F50" s="25"/>
      <c r="G50" s="26"/>
    </row>
    <row r="51" spans="1:9" s="7" customFormat="1" x14ac:dyDescent="0.2">
      <c r="B51" s="30"/>
      <c r="C51" s="29"/>
      <c r="D51" s="32"/>
      <c r="E51" s="24"/>
      <c r="F51" s="25"/>
      <c r="G51" s="26"/>
    </row>
    <row r="52" spans="1:9" s="7" customFormat="1" x14ac:dyDescent="0.2">
      <c r="B52" s="30"/>
      <c r="C52" s="29"/>
      <c r="D52" s="32"/>
      <c r="E52" s="24"/>
      <c r="F52" s="25"/>
      <c r="G52" s="26"/>
    </row>
    <row r="53" spans="1:9" s="7" customFormat="1" x14ac:dyDescent="0.2">
      <c r="B53" s="30"/>
      <c r="C53" s="29"/>
      <c r="D53" s="32"/>
      <c r="E53" s="24"/>
      <c r="F53" s="25"/>
      <c r="G53" s="26"/>
    </row>
    <row r="54" spans="1:9" s="7" customFormat="1" x14ac:dyDescent="0.2">
      <c r="B54" s="30"/>
      <c r="C54" s="29"/>
      <c r="D54" s="32"/>
      <c r="E54" s="24"/>
      <c r="F54" s="25"/>
      <c r="G54" s="26"/>
    </row>
    <row r="55" spans="1:9" s="7" customFormat="1" x14ac:dyDescent="0.2">
      <c r="B55" s="30"/>
      <c r="C55" s="29"/>
      <c r="D55" s="32"/>
      <c r="E55" s="24"/>
      <c r="F55" s="25"/>
      <c r="G55" s="26"/>
    </row>
    <row r="56" spans="1:9" s="7" customFormat="1" x14ac:dyDescent="0.2">
      <c r="B56" s="30"/>
      <c r="C56" s="29"/>
      <c r="D56" s="32"/>
      <c r="E56" s="24"/>
      <c r="F56" s="25"/>
      <c r="G56" s="26"/>
    </row>
    <row r="57" spans="1:9" s="7" customFormat="1" x14ac:dyDescent="0.2">
      <c r="B57" s="33"/>
      <c r="C57" s="22"/>
      <c r="D57" s="34"/>
      <c r="E57" s="35"/>
      <c r="F57" s="36"/>
      <c r="G57" s="26"/>
    </row>
    <row r="58" spans="1:9" s="37" customFormat="1" ht="9.9499999999999993" customHeight="1" x14ac:dyDescent="0.2">
      <c r="B58" s="38" t="s">
        <v>27</v>
      </c>
      <c r="C58" s="39" t="s">
        <v>27</v>
      </c>
      <c r="D58" s="24" t="s">
        <v>27</v>
      </c>
      <c r="E58" s="24" t="s">
        <v>27</v>
      </c>
      <c r="F58" s="40"/>
      <c r="G58" s="41"/>
      <c r="H58" s="42"/>
    </row>
    <row r="59" spans="1:9" s="7" customFormat="1" ht="20.25" customHeight="1" thickBot="1" x14ac:dyDescent="0.25">
      <c r="B59" s="171" t="s">
        <v>78</v>
      </c>
      <c r="C59" s="172"/>
      <c r="D59" s="172"/>
      <c r="E59" s="172"/>
      <c r="F59" s="173"/>
      <c r="G59" s="43">
        <f>SUM(G6:G58)</f>
        <v>25000</v>
      </c>
      <c r="H59" s="44"/>
    </row>
    <row r="60" spans="1:9" s="7" customFormat="1" ht="6.75" customHeight="1" thickTop="1" thickBot="1" x14ac:dyDescent="0.25">
      <c r="B60" s="45"/>
      <c r="C60" s="46"/>
      <c r="D60" s="46"/>
      <c r="E60" s="46"/>
      <c r="F60" s="47"/>
      <c r="G60" s="48"/>
      <c r="H60" s="44"/>
    </row>
    <row r="61" spans="1:9" s="15" customFormat="1" ht="19.5" customHeight="1" thickBot="1" x14ac:dyDescent="0.25">
      <c r="A61" s="8"/>
      <c r="B61" s="9" t="s">
        <v>0</v>
      </c>
      <c r="C61" s="10" t="s">
        <v>1</v>
      </c>
      <c r="D61" s="11" t="s">
        <v>2</v>
      </c>
      <c r="E61" s="12" t="s">
        <v>3</v>
      </c>
      <c r="F61" s="13" t="s">
        <v>4</v>
      </c>
      <c r="G61" s="14" t="s">
        <v>5</v>
      </c>
    </row>
    <row r="62" spans="1:9" s="37" customFormat="1" x14ac:dyDescent="0.2">
      <c r="B62" s="21">
        <v>2</v>
      </c>
      <c r="C62" s="49" t="s">
        <v>79</v>
      </c>
      <c r="D62" s="23"/>
      <c r="E62" s="24"/>
      <c r="F62" s="50"/>
      <c r="G62" s="41"/>
      <c r="H62" s="42"/>
      <c r="I62" s="42"/>
    </row>
    <row r="63" spans="1:9" s="37" customFormat="1" x14ac:dyDescent="0.2">
      <c r="B63" s="51"/>
      <c r="C63" s="49"/>
      <c r="D63" s="23"/>
      <c r="E63" s="24"/>
      <c r="F63" s="50"/>
      <c r="G63" s="41"/>
      <c r="H63" s="42"/>
      <c r="I63" s="42"/>
    </row>
    <row r="64" spans="1:9" x14ac:dyDescent="0.2">
      <c r="A64" s="52"/>
      <c r="B64" s="53">
        <v>2.1</v>
      </c>
      <c r="C64" s="54" t="s">
        <v>73</v>
      </c>
      <c r="D64" s="55"/>
      <c r="E64" s="56"/>
      <c r="F64" s="57"/>
      <c r="G64" s="58"/>
      <c r="H64" s="59"/>
    </row>
    <row r="65" spans="1:8" s="69" customFormat="1" ht="38.25" x14ac:dyDescent="0.2">
      <c r="A65" s="61"/>
      <c r="B65" s="62"/>
      <c r="C65" s="63" t="s">
        <v>23</v>
      </c>
      <c r="D65" s="64"/>
      <c r="E65" s="65"/>
      <c r="F65" s="66"/>
      <c r="G65" s="67"/>
      <c r="H65" s="68"/>
    </row>
    <row r="66" spans="1:8" s="69" customFormat="1" x14ac:dyDescent="0.2">
      <c r="A66" s="61"/>
      <c r="B66" s="62"/>
      <c r="C66" s="70"/>
      <c r="D66" s="64"/>
      <c r="E66" s="65"/>
      <c r="F66" s="66"/>
      <c r="G66" s="67"/>
      <c r="H66" s="68"/>
    </row>
    <row r="67" spans="1:8" s="69" customFormat="1" x14ac:dyDescent="0.2">
      <c r="A67" s="61"/>
      <c r="B67" s="71"/>
      <c r="C67" s="72" t="s">
        <v>17</v>
      </c>
      <c r="D67" s="64"/>
      <c r="E67" s="65"/>
      <c r="F67" s="66"/>
      <c r="G67" s="67"/>
      <c r="H67" s="68"/>
    </row>
    <row r="68" spans="1:8" s="69" customFormat="1" x14ac:dyDescent="0.2">
      <c r="A68" s="61"/>
      <c r="B68" s="73" t="s">
        <v>46</v>
      </c>
      <c r="C68" s="63" t="s">
        <v>18</v>
      </c>
      <c r="D68" s="64" t="s">
        <v>9</v>
      </c>
      <c r="E68" s="74">
        <v>300</v>
      </c>
      <c r="F68" s="57">
        <v>0</v>
      </c>
      <c r="G68" s="58">
        <f>F68*E68</f>
        <v>0</v>
      </c>
      <c r="H68" s="68"/>
    </row>
    <row r="69" spans="1:8" s="69" customFormat="1" x14ac:dyDescent="0.2">
      <c r="A69" s="61"/>
      <c r="B69" s="71"/>
      <c r="C69" s="63"/>
      <c r="D69" s="64"/>
      <c r="E69" s="75"/>
      <c r="F69" s="76"/>
      <c r="G69" s="67"/>
      <c r="H69" s="68"/>
    </row>
    <row r="70" spans="1:8" s="69" customFormat="1" x14ac:dyDescent="0.2">
      <c r="A70" s="61"/>
      <c r="B70" s="73" t="s">
        <v>51</v>
      </c>
      <c r="C70" s="63" t="s">
        <v>19</v>
      </c>
      <c r="D70" s="64" t="s">
        <v>9</v>
      </c>
      <c r="E70" s="75">
        <v>20</v>
      </c>
      <c r="F70" s="57">
        <v>0</v>
      </c>
      <c r="G70" s="58">
        <f>F70*E70</f>
        <v>0</v>
      </c>
      <c r="H70" s="68"/>
    </row>
    <row r="71" spans="1:8" s="69" customFormat="1" x14ac:dyDescent="0.2">
      <c r="A71" s="61"/>
      <c r="B71" s="71"/>
      <c r="C71" s="63"/>
      <c r="D71" s="64"/>
      <c r="E71" s="65"/>
      <c r="F71" s="76"/>
      <c r="G71" s="67"/>
      <c r="H71" s="68"/>
    </row>
    <row r="72" spans="1:8" s="69" customFormat="1" x14ac:dyDescent="0.2">
      <c r="A72" s="61"/>
      <c r="B72" s="73" t="s">
        <v>53</v>
      </c>
      <c r="C72" s="63" t="s">
        <v>20</v>
      </c>
      <c r="D72" s="64" t="s">
        <v>9</v>
      </c>
      <c r="E72" s="65">
        <v>100</v>
      </c>
      <c r="F72" s="57">
        <v>0</v>
      </c>
      <c r="G72" s="58">
        <f>F72*E72</f>
        <v>0</v>
      </c>
      <c r="H72" s="68"/>
    </row>
    <row r="73" spans="1:8" s="69" customFormat="1" x14ac:dyDescent="0.2">
      <c r="A73" s="61"/>
      <c r="B73" s="71"/>
      <c r="C73" s="72" t="s">
        <v>21</v>
      </c>
      <c r="D73" s="64"/>
      <c r="E73" s="65"/>
      <c r="F73" s="66"/>
      <c r="G73" s="67"/>
      <c r="H73" s="68"/>
    </row>
    <row r="74" spans="1:8" s="69" customFormat="1" x14ac:dyDescent="0.2">
      <c r="A74" s="61"/>
      <c r="B74" s="73" t="s">
        <v>54</v>
      </c>
      <c r="C74" s="63" t="s">
        <v>18</v>
      </c>
      <c r="D74" s="64" t="s">
        <v>9</v>
      </c>
      <c r="E74" s="74">
        <f>E68</f>
        <v>300</v>
      </c>
      <c r="F74" s="57">
        <v>0</v>
      </c>
      <c r="G74" s="58">
        <f>F74*E74</f>
        <v>0</v>
      </c>
      <c r="H74" s="68"/>
    </row>
    <row r="75" spans="1:8" s="69" customFormat="1" x14ac:dyDescent="0.2">
      <c r="A75" s="61"/>
      <c r="B75" s="71"/>
      <c r="C75" s="63"/>
      <c r="D75" s="64"/>
      <c r="E75" s="75"/>
      <c r="F75" s="76"/>
      <c r="G75" s="67"/>
      <c r="H75" s="68"/>
    </row>
    <row r="76" spans="1:8" s="69" customFormat="1" x14ac:dyDescent="0.2">
      <c r="A76" s="61"/>
      <c r="B76" s="73" t="s">
        <v>74</v>
      </c>
      <c r="C76" s="63" t="s">
        <v>19</v>
      </c>
      <c r="D76" s="64" t="s">
        <v>9</v>
      </c>
      <c r="E76" s="75">
        <f>E70</f>
        <v>20</v>
      </c>
      <c r="F76" s="57">
        <v>0</v>
      </c>
      <c r="G76" s="58">
        <f>F76*E76</f>
        <v>0</v>
      </c>
      <c r="H76" s="68"/>
    </row>
    <row r="77" spans="1:8" s="69" customFormat="1" x14ac:dyDescent="0.2">
      <c r="A77" s="61"/>
      <c r="B77" s="71"/>
      <c r="C77" s="63"/>
      <c r="D77" s="64"/>
      <c r="E77" s="75"/>
      <c r="F77" s="76"/>
      <c r="G77" s="67"/>
      <c r="H77" s="68"/>
    </row>
    <row r="78" spans="1:8" s="69" customFormat="1" x14ac:dyDescent="0.2">
      <c r="A78" s="61"/>
      <c r="B78" s="73" t="s">
        <v>55</v>
      </c>
      <c r="C78" s="63" t="str">
        <f>C72</f>
        <v xml:space="preserve"> 25 mm diameter - Flexible conduit (Sprague)</v>
      </c>
      <c r="D78" s="64" t="s">
        <v>9</v>
      </c>
      <c r="E78" s="75">
        <f>E72</f>
        <v>100</v>
      </c>
      <c r="F78" s="57">
        <v>0</v>
      </c>
      <c r="G78" s="58">
        <f>F78*E78</f>
        <v>0</v>
      </c>
      <c r="H78" s="68"/>
    </row>
    <row r="79" spans="1:8" s="69" customFormat="1" x14ac:dyDescent="0.2">
      <c r="A79" s="61"/>
      <c r="B79" s="71"/>
      <c r="C79" s="70"/>
      <c r="D79" s="64"/>
      <c r="E79" s="75"/>
      <c r="F79" s="57"/>
      <c r="G79" s="58"/>
      <c r="H79" s="68"/>
    </row>
    <row r="80" spans="1:8" s="69" customFormat="1" x14ac:dyDescent="0.2">
      <c r="A80" s="61"/>
      <c r="B80" s="77">
        <v>2.2000000000000002</v>
      </c>
      <c r="C80" s="72" t="s">
        <v>22</v>
      </c>
      <c r="D80" s="64"/>
      <c r="E80" s="65"/>
      <c r="F80" s="66"/>
      <c r="G80" s="67"/>
      <c r="H80" s="68"/>
    </row>
    <row r="81" spans="1:8" s="69" customFormat="1" ht="38.25" x14ac:dyDescent="0.2">
      <c r="A81" s="61"/>
      <c r="B81" s="71"/>
      <c r="C81" s="63" t="s">
        <v>40</v>
      </c>
      <c r="D81" s="64"/>
      <c r="E81" s="65"/>
      <c r="F81" s="66"/>
      <c r="G81" s="67"/>
      <c r="H81" s="68"/>
    </row>
    <row r="82" spans="1:8" s="69" customFormat="1" x14ac:dyDescent="0.2">
      <c r="A82" s="61"/>
      <c r="B82" s="71"/>
      <c r="C82" s="63"/>
      <c r="D82" s="64"/>
      <c r="E82" s="65"/>
      <c r="F82" s="66"/>
      <c r="G82" s="67"/>
      <c r="H82" s="68"/>
    </row>
    <row r="83" spans="1:8" s="69" customFormat="1" x14ac:dyDescent="0.2">
      <c r="A83" s="61"/>
      <c r="B83" s="71"/>
      <c r="C83" s="72" t="s">
        <v>17</v>
      </c>
      <c r="D83" s="64"/>
      <c r="E83" s="65"/>
      <c r="F83" s="66"/>
      <c r="G83" s="67"/>
      <c r="H83" s="68"/>
    </row>
    <row r="84" spans="1:8" s="69" customFormat="1" x14ac:dyDescent="0.2">
      <c r="A84" s="61"/>
      <c r="B84" s="73" t="s">
        <v>47</v>
      </c>
      <c r="C84" s="63" t="s">
        <v>41</v>
      </c>
      <c r="D84" s="64" t="s">
        <v>8</v>
      </c>
      <c r="E84" s="65">
        <v>50</v>
      </c>
      <c r="F84" s="57">
        <v>0</v>
      </c>
      <c r="G84" s="58">
        <f>F84*E84</f>
        <v>0</v>
      </c>
      <c r="H84" s="68"/>
    </row>
    <row r="85" spans="1:8" s="69" customFormat="1" x14ac:dyDescent="0.2">
      <c r="A85" s="61"/>
      <c r="B85" s="73"/>
      <c r="C85" s="63"/>
      <c r="D85" s="64"/>
      <c r="E85" s="65"/>
      <c r="F85" s="76"/>
      <c r="G85" s="67"/>
      <c r="H85" s="68"/>
    </row>
    <row r="86" spans="1:8" s="69" customFormat="1" x14ac:dyDescent="0.2">
      <c r="A86" s="61"/>
      <c r="B86" s="73" t="s">
        <v>48</v>
      </c>
      <c r="C86" s="63" t="s">
        <v>42</v>
      </c>
      <c r="D86" s="64" t="s">
        <v>8</v>
      </c>
      <c r="E86" s="65">
        <v>5</v>
      </c>
      <c r="F86" s="57">
        <v>0</v>
      </c>
      <c r="G86" s="58">
        <f>F86*E86</f>
        <v>0</v>
      </c>
      <c r="H86" s="68"/>
    </row>
    <row r="87" spans="1:8" s="69" customFormat="1" x14ac:dyDescent="0.2">
      <c r="A87" s="61"/>
      <c r="B87" s="73"/>
      <c r="C87" s="63"/>
      <c r="D87" s="64"/>
      <c r="E87" s="65"/>
      <c r="F87" s="57"/>
      <c r="G87" s="58"/>
      <c r="H87" s="68"/>
    </row>
    <row r="88" spans="1:8" s="69" customFormat="1" ht="25.5" x14ac:dyDescent="0.2">
      <c r="A88" s="61"/>
      <c r="B88" s="73" t="s">
        <v>97</v>
      </c>
      <c r="C88" s="63" t="s">
        <v>43</v>
      </c>
      <c r="D88" s="64" t="s">
        <v>8</v>
      </c>
      <c r="E88" s="65">
        <v>10</v>
      </c>
      <c r="F88" s="57">
        <v>0</v>
      </c>
      <c r="G88" s="58">
        <f>F88*E88</f>
        <v>0</v>
      </c>
      <c r="H88" s="68"/>
    </row>
    <row r="89" spans="1:8" s="69" customFormat="1" x14ac:dyDescent="0.2">
      <c r="A89" s="61"/>
      <c r="B89" s="73"/>
      <c r="C89" s="63"/>
      <c r="D89" s="64"/>
      <c r="E89" s="65"/>
      <c r="F89" s="76"/>
      <c r="G89" s="67"/>
      <c r="H89" s="68"/>
    </row>
    <row r="90" spans="1:8" s="69" customFormat="1" ht="25.5" x14ac:dyDescent="0.2">
      <c r="A90" s="61"/>
      <c r="B90" s="73" t="s">
        <v>98</v>
      </c>
      <c r="C90" s="63" t="s">
        <v>44</v>
      </c>
      <c r="D90" s="64" t="s">
        <v>8</v>
      </c>
      <c r="E90" s="65">
        <v>1</v>
      </c>
      <c r="F90" s="57">
        <v>0</v>
      </c>
      <c r="G90" s="58">
        <f>F90*E90</f>
        <v>0</v>
      </c>
      <c r="H90" s="68"/>
    </row>
    <row r="91" spans="1:8" s="69" customFormat="1" x14ac:dyDescent="0.2">
      <c r="A91" s="61"/>
      <c r="B91" s="73"/>
      <c r="C91" s="72" t="s">
        <v>21</v>
      </c>
      <c r="D91" s="64"/>
      <c r="E91" s="65"/>
      <c r="F91" s="66"/>
      <c r="G91" s="67"/>
      <c r="H91" s="68"/>
    </row>
    <row r="92" spans="1:8" s="69" customFormat="1" x14ac:dyDescent="0.2">
      <c r="A92" s="61"/>
      <c r="B92" s="73" t="s">
        <v>99</v>
      </c>
      <c r="C92" s="63" t="str">
        <f>C84</f>
        <v>Round Box for 20mm conduit (1, 2 3 or 4 Way)</v>
      </c>
      <c r="D92" s="64" t="s">
        <v>8</v>
      </c>
      <c r="E92" s="65">
        <f>E84</f>
        <v>50</v>
      </c>
      <c r="F92" s="57">
        <v>0</v>
      </c>
      <c r="G92" s="58">
        <f>F92*E92</f>
        <v>0</v>
      </c>
      <c r="H92" s="68"/>
    </row>
    <row r="93" spans="1:8" s="69" customFormat="1" x14ac:dyDescent="0.2">
      <c r="A93" s="61"/>
      <c r="B93" s="73"/>
      <c r="C93" s="63"/>
      <c r="D93" s="64"/>
      <c r="E93" s="65"/>
      <c r="F93" s="76"/>
      <c r="G93" s="67"/>
      <c r="H93" s="68"/>
    </row>
    <row r="94" spans="1:8" s="69" customFormat="1" x14ac:dyDescent="0.2">
      <c r="A94" s="61"/>
      <c r="B94" s="73" t="s">
        <v>100</v>
      </c>
      <c r="C94" s="63" t="str">
        <f>C86</f>
        <v>Round Box for 25mm conduit (1, 2 3 or 4 Way)</v>
      </c>
      <c r="D94" s="64" t="s">
        <v>8</v>
      </c>
      <c r="E94" s="65">
        <f>E86</f>
        <v>5</v>
      </c>
      <c r="F94" s="57">
        <v>0</v>
      </c>
      <c r="G94" s="58">
        <f>F94*E94</f>
        <v>0</v>
      </c>
      <c r="H94" s="68"/>
    </row>
    <row r="95" spans="1:8" s="69" customFormat="1" x14ac:dyDescent="0.2">
      <c r="A95" s="61"/>
      <c r="B95" s="73"/>
      <c r="C95" s="63"/>
      <c r="D95" s="64"/>
      <c r="E95" s="65"/>
      <c r="F95" s="78"/>
      <c r="G95" s="58"/>
      <c r="H95" s="68"/>
    </row>
    <row r="96" spans="1:8" s="69" customFormat="1" ht="25.5" x14ac:dyDescent="0.2">
      <c r="A96" s="61"/>
      <c r="B96" s="73" t="s">
        <v>101</v>
      </c>
      <c r="C96" s="63" t="str">
        <f>C88</f>
        <v xml:space="preserve"> 100 x 50 - Surface box for FD equipment or connections.</v>
      </c>
      <c r="D96" s="64" t="s">
        <v>8</v>
      </c>
      <c r="E96" s="65">
        <f>E88</f>
        <v>10</v>
      </c>
      <c r="F96" s="57">
        <v>0</v>
      </c>
      <c r="G96" s="58">
        <f>F96*E96</f>
        <v>0</v>
      </c>
      <c r="H96" s="68"/>
    </row>
    <row r="97" spans="1:8" s="69" customFormat="1" x14ac:dyDescent="0.2">
      <c r="A97" s="61"/>
      <c r="B97" s="73"/>
      <c r="C97" s="63"/>
      <c r="D97" s="64"/>
      <c r="E97" s="65"/>
      <c r="F97" s="76"/>
      <c r="G97" s="67"/>
      <c r="H97" s="68"/>
    </row>
    <row r="98" spans="1:8" s="69" customFormat="1" ht="25.5" x14ac:dyDescent="0.2">
      <c r="A98" s="61"/>
      <c r="B98" s="73" t="s">
        <v>102</v>
      </c>
      <c r="C98" s="63" t="str">
        <f>C90</f>
        <v xml:space="preserve"> 100 x 100 - Surface box for FD equipment or connections.</v>
      </c>
      <c r="D98" s="64" t="s">
        <v>8</v>
      </c>
      <c r="E98" s="65">
        <f>E90</f>
        <v>1</v>
      </c>
      <c r="F98" s="57">
        <v>0</v>
      </c>
      <c r="G98" s="58">
        <f>F98*E98</f>
        <v>0</v>
      </c>
      <c r="H98" s="68"/>
    </row>
    <row r="99" spans="1:8" s="69" customFormat="1" x14ac:dyDescent="0.2">
      <c r="A99" s="61"/>
      <c r="B99" s="73"/>
      <c r="C99" s="63"/>
      <c r="D99" s="64"/>
      <c r="E99" s="65"/>
      <c r="F99" s="57"/>
      <c r="G99" s="58"/>
      <c r="H99" s="68"/>
    </row>
    <row r="100" spans="1:8" s="69" customFormat="1" x14ac:dyDescent="0.2">
      <c r="A100" s="61"/>
      <c r="B100" s="73"/>
      <c r="C100" s="63"/>
      <c r="D100" s="64"/>
      <c r="E100" s="65"/>
      <c r="F100" s="57"/>
      <c r="G100" s="58"/>
      <c r="H100" s="68"/>
    </row>
    <row r="101" spans="1:8" s="69" customFormat="1" x14ac:dyDescent="0.2">
      <c r="A101" s="61"/>
      <c r="B101" s="73"/>
      <c r="C101" s="63"/>
      <c r="D101" s="64"/>
      <c r="E101" s="65"/>
      <c r="F101" s="57"/>
      <c r="G101" s="58"/>
      <c r="H101" s="68"/>
    </row>
    <row r="102" spans="1:8" s="69" customFormat="1" x14ac:dyDescent="0.2">
      <c r="A102" s="61"/>
      <c r="B102" s="73"/>
      <c r="C102" s="63"/>
      <c r="D102" s="64"/>
      <c r="E102" s="65"/>
      <c r="F102" s="57"/>
      <c r="G102" s="58"/>
      <c r="H102" s="68"/>
    </row>
    <row r="103" spans="1:8" s="69" customFormat="1" x14ac:dyDescent="0.2">
      <c r="A103" s="61"/>
      <c r="B103" s="73"/>
      <c r="C103" s="63"/>
      <c r="D103" s="64"/>
      <c r="E103" s="65"/>
      <c r="F103" s="57"/>
      <c r="G103" s="58"/>
      <c r="H103" s="68"/>
    </row>
    <row r="104" spans="1:8" s="69" customFormat="1" x14ac:dyDescent="0.2">
      <c r="A104" s="61"/>
      <c r="B104" s="73"/>
      <c r="C104" s="63"/>
      <c r="D104" s="64"/>
      <c r="E104" s="65"/>
      <c r="F104" s="57"/>
      <c r="G104" s="58"/>
      <c r="H104" s="68"/>
    </row>
    <row r="105" spans="1:8" s="69" customFormat="1" x14ac:dyDescent="0.2">
      <c r="A105" s="61"/>
      <c r="B105" s="73"/>
      <c r="C105" s="63"/>
      <c r="D105" s="64"/>
      <c r="E105" s="65"/>
      <c r="F105" s="57"/>
      <c r="G105" s="58"/>
      <c r="H105" s="68"/>
    </row>
    <row r="106" spans="1:8" s="69" customFormat="1" x14ac:dyDescent="0.2">
      <c r="A106" s="61"/>
      <c r="B106" s="73"/>
      <c r="C106" s="63"/>
      <c r="D106" s="64"/>
      <c r="E106" s="65"/>
      <c r="F106" s="57"/>
      <c r="G106" s="58"/>
      <c r="H106" s="68"/>
    </row>
    <row r="107" spans="1:8" s="69" customFormat="1" x14ac:dyDescent="0.2">
      <c r="A107" s="61"/>
      <c r="B107" s="73"/>
      <c r="C107" s="63"/>
      <c r="D107" s="64"/>
      <c r="E107" s="65"/>
      <c r="F107" s="57"/>
      <c r="G107" s="58"/>
      <c r="H107" s="68"/>
    </row>
    <row r="108" spans="1:8" s="69" customFormat="1" x14ac:dyDescent="0.2">
      <c r="A108" s="61"/>
      <c r="B108" s="73"/>
      <c r="C108" s="63"/>
      <c r="D108" s="64"/>
      <c r="E108" s="65"/>
      <c r="F108" s="57"/>
      <c r="G108" s="58"/>
      <c r="H108" s="68"/>
    </row>
    <row r="109" spans="1:8" s="69" customFormat="1" x14ac:dyDescent="0.2">
      <c r="A109" s="61"/>
      <c r="B109" s="73"/>
      <c r="C109" s="63"/>
      <c r="D109" s="64"/>
      <c r="E109" s="65"/>
      <c r="F109" s="57"/>
      <c r="G109" s="58"/>
      <c r="H109" s="68"/>
    </row>
    <row r="110" spans="1:8" s="69" customFormat="1" x14ac:dyDescent="0.2">
      <c r="A110" s="61"/>
      <c r="B110" s="73"/>
      <c r="C110" s="63"/>
      <c r="D110" s="64"/>
      <c r="E110" s="65"/>
      <c r="F110" s="57"/>
      <c r="G110" s="58"/>
      <c r="H110" s="68"/>
    </row>
    <row r="111" spans="1:8" s="69" customFormat="1" x14ac:dyDescent="0.2">
      <c r="A111" s="61"/>
      <c r="B111" s="73"/>
      <c r="C111" s="63"/>
      <c r="D111" s="64"/>
      <c r="E111" s="65"/>
      <c r="F111" s="57"/>
      <c r="G111" s="58"/>
      <c r="H111" s="68"/>
    </row>
    <row r="112" spans="1:8" s="69" customFormat="1" x14ac:dyDescent="0.2">
      <c r="A112" s="61"/>
      <c r="B112" s="73"/>
      <c r="C112" s="63"/>
      <c r="D112" s="64"/>
      <c r="E112" s="65"/>
      <c r="F112" s="57"/>
      <c r="G112" s="58"/>
      <c r="H112" s="68"/>
    </row>
    <row r="113" spans="1:8" s="69" customFormat="1" x14ac:dyDescent="0.2">
      <c r="A113" s="61"/>
      <c r="B113" s="73"/>
      <c r="C113" s="63"/>
      <c r="D113" s="64"/>
      <c r="E113" s="65"/>
      <c r="F113" s="57"/>
      <c r="G113" s="58"/>
      <c r="H113" s="68"/>
    </row>
    <row r="114" spans="1:8" s="69" customFormat="1" x14ac:dyDescent="0.2">
      <c r="A114" s="61"/>
      <c r="B114" s="73"/>
      <c r="C114" s="63"/>
      <c r="D114" s="64"/>
      <c r="E114" s="65"/>
      <c r="F114" s="57"/>
      <c r="G114" s="58"/>
      <c r="H114" s="68"/>
    </row>
    <row r="115" spans="1:8" s="69" customFormat="1" x14ac:dyDescent="0.2">
      <c r="A115" s="61"/>
      <c r="B115" s="73"/>
      <c r="C115" s="63"/>
      <c r="D115" s="64"/>
      <c r="E115" s="65"/>
      <c r="F115" s="57"/>
      <c r="G115" s="58"/>
      <c r="H115" s="68"/>
    </row>
    <row r="116" spans="1:8" s="37" customFormat="1" x14ac:dyDescent="0.2">
      <c r="B116" s="38" t="s">
        <v>27</v>
      </c>
      <c r="C116" s="39" t="s">
        <v>27</v>
      </c>
      <c r="D116" s="24" t="s">
        <v>27</v>
      </c>
      <c r="E116" s="24" t="s">
        <v>27</v>
      </c>
      <c r="F116" s="40"/>
      <c r="G116" s="41"/>
      <c r="H116" s="42"/>
    </row>
    <row r="117" spans="1:8" s="7" customFormat="1" ht="20.25" customHeight="1" thickBot="1" x14ac:dyDescent="0.25">
      <c r="B117" s="171" t="s">
        <v>129</v>
      </c>
      <c r="C117" s="172"/>
      <c r="D117" s="172"/>
      <c r="E117" s="172"/>
      <c r="F117" s="173"/>
      <c r="G117" s="43">
        <f>SUM(G63:G116)</f>
        <v>0</v>
      </c>
      <c r="H117" s="44"/>
    </row>
    <row r="118" spans="1:8" s="7" customFormat="1" ht="6.75" customHeight="1" thickTop="1" thickBot="1" x14ac:dyDescent="0.25">
      <c r="B118" s="45"/>
      <c r="C118" s="46"/>
      <c r="D118" s="46"/>
      <c r="E118" s="46"/>
      <c r="F118" s="47"/>
      <c r="G118" s="48"/>
      <c r="H118" s="44"/>
    </row>
    <row r="119" spans="1:8" s="15" customFormat="1" ht="19.5" customHeight="1" thickBot="1" x14ac:dyDescent="0.25">
      <c r="A119" s="8"/>
      <c r="B119" s="9" t="s">
        <v>0</v>
      </c>
      <c r="C119" s="10" t="s">
        <v>1</v>
      </c>
      <c r="D119" s="11" t="s">
        <v>2</v>
      </c>
      <c r="E119" s="12" t="s">
        <v>3</v>
      </c>
      <c r="F119" s="13" t="s">
        <v>4</v>
      </c>
      <c r="G119" s="14" t="s">
        <v>5</v>
      </c>
    </row>
    <row r="120" spans="1:8" s="69" customFormat="1" x14ac:dyDescent="0.2">
      <c r="A120" s="61"/>
      <c r="B120" s="71"/>
      <c r="C120" s="70"/>
      <c r="D120" s="64"/>
      <c r="E120" s="65"/>
      <c r="F120" s="57"/>
      <c r="G120" s="58"/>
      <c r="H120" s="68"/>
    </row>
    <row r="121" spans="1:8" x14ac:dyDescent="0.2">
      <c r="B121" s="21">
        <v>3</v>
      </c>
      <c r="C121" s="49" t="s">
        <v>103</v>
      </c>
      <c r="D121" s="79"/>
      <c r="E121" s="80"/>
      <c r="F121" s="81"/>
      <c r="G121" s="82"/>
    </row>
    <row r="122" spans="1:8" x14ac:dyDescent="0.2">
      <c r="B122" s="51"/>
      <c r="C122" s="49"/>
      <c r="D122" s="79"/>
      <c r="E122" s="80"/>
      <c r="F122" s="81"/>
      <c r="G122" s="82"/>
    </row>
    <row r="123" spans="1:8" x14ac:dyDescent="0.2">
      <c r="B123" s="33">
        <v>3.1</v>
      </c>
      <c r="C123" s="49" t="s">
        <v>45</v>
      </c>
      <c r="D123" s="79"/>
      <c r="E123" s="80"/>
      <c r="F123" s="81"/>
      <c r="G123" s="82"/>
    </row>
    <row r="124" spans="1:8" x14ac:dyDescent="0.2">
      <c r="B124" s="51"/>
      <c r="C124" s="49"/>
      <c r="D124" s="79"/>
      <c r="E124" s="80"/>
      <c r="F124" s="81"/>
      <c r="G124" s="82"/>
    </row>
    <row r="125" spans="1:8" x14ac:dyDescent="0.2">
      <c r="B125" s="51"/>
      <c r="C125" s="49" t="s">
        <v>7</v>
      </c>
      <c r="D125" s="79"/>
      <c r="E125" s="80"/>
      <c r="F125" s="81"/>
      <c r="G125" s="82"/>
    </row>
    <row r="126" spans="1:8" ht="80.25" customHeight="1" x14ac:dyDescent="0.2">
      <c r="B126" s="31" t="s">
        <v>62</v>
      </c>
      <c r="C126" s="28" t="s">
        <v>124</v>
      </c>
      <c r="D126" s="23" t="s">
        <v>8</v>
      </c>
      <c r="E126" s="24">
        <v>1</v>
      </c>
      <c r="F126" s="40">
        <v>0</v>
      </c>
      <c r="G126" s="41">
        <f>F126*E126</f>
        <v>0</v>
      </c>
    </row>
    <row r="127" spans="1:8" x14ac:dyDescent="0.2">
      <c r="B127" s="83"/>
      <c r="C127" s="28"/>
      <c r="D127" s="79"/>
      <c r="E127" s="80"/>
      <c r="F127" s="81"/>
      <c r="G127" s="82"/>
    </row>
    <row r="128" spans="1:8" ht="25.5" x14ac:dyDescent="0.2">
      <c r="B128" s="31" t="s">
        <v>63</v>
      </c>
      <c r="C128" s="28" t="s">
        <v>50</v>
      </c>
      <c r="D128" s="23" t="s">
        <v>8</v>
      </c>
      <c r="E128" s="24">
        <v>13</v>
      </c>
      <c r="F128" s="40">
        <v>0</v>
      </c>
      <c r="G128" s="41">
        <f>F128*E128</f>
        <v>0</v>
      </c>
    </row>
    <row r="129" spans="2:7" x14ac:dyDescent="0.2">
      <c r="B129" s="83"/>
      <c r="C129" s="28"/>
      <c r="D129" s="79"/>
      <c r="E129" s="80"/>
      <c r="F129" s="81"/>
      <c r="G129" s="82"/>
    </row>
    <row r="130" spans="2:7" ht="25.5" x14ac:dyDescent="0.2">
      <c r="B130" s="31" t="s">
        <v>64</v>
      </c>
      <c r="C130" s="28" t="s">
        <v>52</v>
      </c>
      <c r="D130" s="23" t="s">
        <v>8</v>
      </c>
      <c r="E130" s="24">
        <v>1</v>
      </c>
      <c r="F130" s="40">
        <v>0</v>
      </c>
      <c r="G130" s="41">
        <f t="shared" ref="G130" si="0">F130*E130</f>
        <v>0</v>
      </c>
    </row>
    <row r="131" spans="2:7" x14ac:dyDescent="0.2">
      <c r="B131" s="83"/>
      <c r="C131" s="28"/>
      <c r="D131" s="79"/>
      <c r="E131" s="80"/>
      <c r="F131" s="81"/>
      <c r="G131" s="82"/>
    </row>
    <row r="132" spans="2:7" ht="25.5" x14ac:dyDescent="0.2">
      <c r="B132" s="31" t="s">
        <v>65</v>
      </c>
      <c r="C132" s="28" t="s">
        <v>75</v>
      </c>
      <c r="D132" s="23" t="s">
        <v>8</v>
      </c>
      <c r="E132" s="24">
        <v>1</v>
      </c>
      <c r="F132" s="40">
        <v>0</v>
      </c>
      <c r="G132" s="41">
        <f t="shared" ref="G132" si="1">F132*E132</f>
        <v>0</v>
      </c>
    </row>
    <row r="133" spans="2:7" x14ac:dyDescent="0.2">
      <c r="B133" s="83"/>
      <c r="C133" s="28"/>
      <c r="D133" s="79"/>
      <c r="E133" s="80"/>
      <c r="F133" s="81"/>
      <c r="G133" s="82"/>
    </row>
    <row r="134" spans="2:7" ht="38.25" x14ac:dyDescent="0.2">
      <c r="B134" s="31" t="s">
        <v>66</v>
      </c>
      <c r="C134" s="28" t="s">
        <v>119</v>
      </c>
      <c r="D134" s="23" t="s">
        <v>8</v>
      </c>
      <c r="E134" s="24">
        <v>3</v>
      </c>
      <c r="F134" s="40">
        <v>0</v>
      </c>
      <c r="G134" s="41">
        <f t="shared" ref="G134" si="2">F134*E134</f>
        <v>0</v>
      </c>
    </row>
    <row r="135" spans="2:7" x14ac:dyDescent="0.2">
      <c r="B135" s="83"/>
      <c r="C135" s="28"/>
      <c r="D135" s="79"/>
      <c r="E135" s="80"/>
      <c r="F135" s="81"/>
      <c r="G135" s="82"/>
    </row>
    <row r="136" spans="2:7" ht="25.5" x14ac:dyDescent="0.2">
      <c r="B136" s="31" t="s">
        <v>67</v>
      </c>
      <c r="C136" s="28" t="s">
        <v>56</v>
      </c>
      <c r="D136" s="23" t="s">
        <v>8</v>
      </c>
      <c r="E136" s="24">
        <v>5</v>
      </c>
      <c r="F136" s="40">
        <v>0</v>
      </c>
      <c r="G136" s="41">
        <f t="shared" ref="G136" si="3">F136*E136</f>
        <v>0</v>
      </c>
    </row>
    <row r="137" spans="2:7" x14ac:dyDescent="0.2">
      <c r="B137" s="83"/>
      <c r="C137" s="28"/>
      <c r="D137" s="79"/>
      <c r="E137" s="80"/>
      <c r="F137" s="81"/>
      <c r="G137" s="82"/>
    </row>
    <row r="138" spans="2:7" ht="25.5" x14ac:dyDescent="0.2">
      <c r="B138" s="31" t="s">
        <v>127</v>
      </c>
      <c r="C138" s="28" t="s">
        <v>120</v>
      </c>
      <c r="D138" s="23" t="s">
        <v>8</v>
      </c>
      <c r="E138" s="24">
        <v>1</v>
      </c>
      <c r="F138" s="40">
        <v>0</v>
      </c>
      <c r="G138" s="41">
        <f t="shared" ref="G138" si="4">F138*E138</f>
        <v>0</v>
      </c>
    </row>
    <row r="139" spans="2:7" x14ac:dyDescent="0.2">
      <c r="B139" s="83"/>
      <c r="C139" s="28"/>
      <c r="D139" s="79"/>
      <c r="E139" s="80"/>
      <c r="F139" s="81"/>
      <c r="G139" s="82"/>
    </row>
    <row r="140" spans="2:7" ht="25.5" x14ac:dyDescent="0.2">
      <c r="B140" s="31" t="s">
        <v>68</v>
      </c>
      <c r="C140" s="28" t="s">
        <v>125</v>
      </c>
      <c r="D140" s="23" t="s">
        <v>8</v>
      </c>
      <c r="E140" s="24">
        <v>1</v>
      </c>
      <c r="F140" s="40">
        <v>0</v>
      </c>
      <c r="G140" s="41">
        <f t="shared" ref="G140" si="5">F140*E140</f>
        <v>0</v>
      </c>
    </row>
    <row r="141" spans="2:7" x14ac:dyDescent="0.2">
      <c r="B141" s="83"/>
      <c r="C141" s="28"/>
      <c r="D141" s="79"/>
      <c r="E141" s="80"/>
      <c r="F141" s="81"/>
      <c r="G141" s="82"/>
    </row>
    <row r="142" spans="2:7" ht="25.5" x14ac:dyDescent="0.2">
      <c r="B142" s="31" t="s">
        <v>104</v>
      </c>
      <c r="C142" s="28" t="s">
        <v>122</v>
      </c>
      <c r="D142" s="23" t="s">
        <v>8</v>
      </c>
      <c r="E142" s="24">
        <v>2</v>
      </c>
      <c r="F142" s="40">
        <v>0</v>
      </c>
      <c r="G142" s="41">
        <f t="shared" ref="G142" si="6">F142*E142</f>
        <v>0</v>
      </c>
    </row>
    <row r="143" spans="2:7" x14ac:dyDescent="0.2">
      <c r="B143" s="83"/>
      <c r="C143" s="84"/>
      <c r="D143" s="79"/>
      <c r="E143" s="80"/>
      <c r="F143" s="81"/>
      <c r="G143" s="82"/>
    </row>
    <row r="144" spans="2:7" ht="28.5" customHeight="1" x14ac:dyDescent="0.2">
      <c r="B144" s="31" t="s">
        <v>105</v>
      </c>
      <c r="C144" s="28" t="s">
        <v>80</v>
      </c>
      <c r="D144" s="23" t="s">
        <v>9</v>
      </c>
      <c r="E144" s="24">
        <v>300</v>
      </c>
      <c r="F144" s="40">
        <v>0</v>
      </c>
      <c r="G144" s="41">
        <f t="shared" ref="G144" si="7">F144*E144</f>
        <v>0</v>
      </c>
    </row>
    <row r="145" spans="1:9" x14ac:dyDescent="0.2">
      <c r="B145" s="83"/>
      <c r="C145" s="85"/>
      <c r="D145" s="79"/>
      <c r="E145" s="80"/>
      <c r="F145" s="81"/>
      <c r="G145" s="82"/>
    </row>
    <row r="146" spans="1:9" ht="25.5" x14ac:dyDescent="0.2">
      <c r="B146" s="31" t="s">
        <v>106</v>
      </c>
      <c r="C146" s="28" t="s">
        <v>76</v>
      </c>
      <c r="D146" s="23" t="s">
        <v>8</v>
      </c>
      <c r="E146" s="24">
        <v>1</v>
      </c>
      <c r="F146" s="40">
        <v>0</v>
      </c>
      <c r="G146" s="41">
        <f t="shared" ref="G146" si="8">F146*E146</f>
        <v>0</v>
      </c>
    </row>
    <row r="147" spans="1:9" x14ac:dyDescent="0.2">
      <c r="B147" s="83"/>
      <c r="C147" s="28"/>
      <c r="E147" s="24"/>
      <c r="G147" s="41"/>
    </row>
    <row r="148" spans="1:9" ht="25.5" x14ac:dyDescent="0.2">
      <c r="B148" s="31" t="s">
        <v>107</v>
      </c>
      <c r="C148" s="28" t="s">
        <v>126</v>
      </c>
      <c r="D148" s="23" t="s">
        <v>8</v>
      </c>
      <c r="E148" s="24">
        <v>5</v>
      </c>
      <c r="F148" s="40">
        <v>0</v>
      </c>
      <c r="G148" s="41">
        <f t="shared" ref="G148" si="9">F148*E148</f>
        <v>0</v>
      </c>
    </row>
    <row r="149" spans="1:9" x14ac:dyDescent="0.2">
      <c r="B149" s="83"/>
      <c r="C149" s="85"/>
      <c r="E149" s="24"/>
      <c r="G149" s="41"/>
    </row>
    <row r="150" spans="1:9" x14ac:dyDescent="0.2">
      <c r="B150" s="31"/>
      <c r="C150" s="72" t="s">
        <v>10</v>
      </c>
      <c r="D150" s="79"/>
      <c r="E150" s="80"/>
      <c r="F150" s="81"/>
      <c r="G150" s="82"/>
    </row>
    <row r="151" spans="1:9" ht="77.25" thickBot="1" x14ac:dyDescent="0.25">
      <c r="B151" s="31" t="s">
        <v>108</v>
      </c>
      <c r="C151" s="63" t="str">
        <f>C126</f>
        <v>Technoswitch 2 loop, Esprit network addressable alarm panel (Fire detection control panel) mounted on wall in the indicated position on the drawings. Complete with ethernet network card for communication to the site and GSM card/unit for communication to cell phones</v>
      </c>
      <c r="D151" s="23" t="str">
        <f>D126</f>
        <v>No.</v>
      </c>
      <c r="E151" s="24">
        <f>E126</f>
        <v>1</v>
      </c>
      <c r="F151" s="40">
        <v>0</v>
      </c>
      <c r="G151" s="41">
        <f t="shared" ref="G151" si="10">F151*E151</f>
        <v>0</v>
      </c>
    </row>
    <row r="152" spans="1:9" x14ac:dyDescent="0.2">
      <c r="B152" s="83"/>
      <c r="C152" s="63"/>
      <c r="E152" s="24"/>
      <c r="F152" s="86"/>
      <c r="G152" s="87"/>
    </row>
    <row r="153" spans="1:9" ht="25.5" x14ac:dyDescent="0.2">
      <c r="B153" s="31" t="s">
        <v>109</v>
      </c>
      <c r="C153" s="63" t="str">
        <f>C128</f>
        <v>Optical smoke detectors including standard base mounted on 65mm diameter drawboxes.</v>
      </c>
      <c r="D153" s="23" t="str">
        <f>D128</f>
        <v>No.</v>
      </c>
      <c r="E153" s="24">
        <f>E128</f>
        <v>13</v>
      </c>
      <c r="F153" s="40">
        <v>0</v>
      </c>
      <c r="G153" s="41">
        <f t="shared" ref="G153" si="11">F153*E153</f>
        <v>0</v>
      </c>
    </row>
    <row r="154" spans="1:9" x14ac:dyDescent="0.2">
      <c r="B154" s="83"/>
      <c r="C154" s="63"/>
      <c r="E154" s="24"/>
      <c r="F154" s="86"/>
      <c r="G154" s="87"/>
    </row>
    <row r="155" spans="1:9" ht="25.5" x14ac:dyDescent="0.2">
      <c r="B155" s="31" t="s">
        <v>110</v>
      </c>
      <c r="C155" s="63" t="str">
        <f>C130</f>
        <v>Heat detectors including standard base mounted on 65mm diameter drawboxes.</v>
      </c>
      <c r="D155" s="23" t="str">
        <f>D130</f>
        <v>No.</v>
      </c>
      <c r="E155" s="24">
        <f>E130</f>
        <v>1</v>
      </c>
      <c r="F155" s="40">
        <v>0</v>
      </c>
      <c r="G155" s="41">
        <f t="shared" ref="G155" si="12">F155*E155</f>
        <v>0</v>
      </c>
    </row>
    <row r="156" spans="1:9" x14ac:dyDescent="0.2">
      <c r="B156" s="31"/>
      <c r="C156" s="70"/>
      <c r="D156" s="79"/>
      <c r="E156" s="80"/>
      <c r="F156" s="81"/>
      <c r="G156" s="82"/>
    </row>
    <row r="157" spans="1:9" ht="20.100000000000001" customHeight="1" thickBot="1" x14ac:dyDescent="0.25">
      <c r="A157" s="52"/>
      <c r="B157" s="174" t="s">
        <v>15</v>
      </c>
      <c r="C157" s="175"/>
      <c r="D157" s="175"/>
      <c r="E157" s="175"/>
      <c r="F157" s="176"/>
      <c r="G157" s="88">
        <f>SUM(G121:G156)</f>
        <v>0</v>
      </c>
      <c r="H157" s="52"/>
      <c r="I157" s="89"/>
    </row>
    <row r="158" spans="1:9" ht="7.5" customHeight="1" x14ac:dyDescent="0.2">
      <c r="A158" s="90"/>
      <c r="B158" s="91"/>
      <c r="C158" s="92"/>
      <c r="D158" s="93"/>
      <c r="E158" s="93"/>
      <c r="F158" s="94"/>
      <c r="G158" s="95"/>
      <c r="H158" s="90"/>
      <c r="I158" s="89"/>
    </row>
    <row r="159" spans="1:9" ht="13.5" thickBot="1" x14ac:dyDescent="0.25">
      <c r="B159" s="96"/>
      <c r="C159" s="97"/>
      <c r="D159" s="98"/>
      <c r="E159" s="99"/>
      <c r="F159" s="100"/>
      <c r="G159" s="101"/>
      <c r="I159" s="89"/>
    </row>
    <row r="160" spans="1:9" s="15" customFormat="1" ht="19.5" customHeight="1" thickBot="1" x14ac:dyDescent="0.25">
      <c r="A160" s="8"/>
      <c r="B160" s="9" t="s">
        <v>0</v>
      </c>
      <c r="C160" s="10" t="s">
        <v>1</v>
      </c>
      <c r="D160" s="11" t="s">
        <v>2</v>
      </c>
      <c r="E160" s="12" t="s">
        <v>3</v>
      </c>
      <c r="F160" s="13" t="s">
        <v>4</v>
      </c>
      <c r="G160" s="14" t="s">
        <v>5</v>
      </c>
    </row>
    <row r="161" spans="1:9" s="104" customFormat="1" ht="21.75" customHeight="1" x14ac:dyDescent="0.2">
      <c r="A161" s="7"/>
      <c r="B161" s="177" t="s">
        <v>16</v>
      </c>
      <c r="C161" s="178"/>
      <c r="D161" s="178"/>
      <c r="E161" s="178"/>
      <c r="F161" s="179"/>
      <c r="G161" s="102">
        <f>G157</f>
        <v>0</v>
      </c>
      <c r="H161" s="7"/>
      <c r="I161" s="103"/>
    </row>
    <row r="162" spans="1:9" x14ac:dyDescent="0.2">
      <c r="B162" s="31"/>
      <c r="C162" s="70"/>
      <c r="D162" s="79"/>
      <c r="E162" s="80"/>
      <c r="F162" s="81"/>
      <c r="G162" s="82"/>
    </row>
    <row r="163" spans="1:9" ht="25.5" x14ac:dyDescent="0.2">
      <c r="B163" s="31" t="s">
        <v>111</v>
      </c>
      <c r="C163" s="63" t="str">
        <f>C132</f>
        <v>Optical Smoke/Heat Combinational detectors mounted on 65mm diameter drawbox</v>
      </c>
      <c r="D163" s="23" t="str">
        <f>D132</f>
        <v>No.</v>
      </c>
      <c r="E163" s="24">
        <f>E132</f>
        <v>1</v>
      </c>
      <c r="F163" s="40">
        <v>0</v>
      </c>
      <c r="G163" s="41">
        <f t="shared" ref="G163" si="13">F163*E163</f>
        <v>0</v>
      </c>
    </row>
    <row r="164" spans="1:9" x14ac:dyDescent="0.2">
      <c r="B164" s="83"/>
      <c r="C164" s="63"/>
      <c r="E164" s="24"/>
      <c r="F164" s="86"/>
      <c r="G164" s="87"/>
    </row>
    <row r="165" spans="1:9" ht="38.25" x14ac:dyDescent="0.2">
      <c r="B165" s="31" t="s">
        <v>112</v>
      </c>
      <c r="C165" s="63" t="str">
        <f>C134</f>
        <v>Optical smoke detector, Strobe / Sounder combination, mounted on 65 mm diameter drawbox on walls/structure.</v>
      </c>
      <c r="D165" s="23" t="str">
        <f>D134</f>
        <v>No.</v>
      </c>
      <c r="E165" s="24">
        <f>E134</f>
        <v>3</v>
      </c>
      <c r="F165" s="40">
        <v>0</v>
      </c>
      <c r="G165" s="41">
        <f t="shared" ref="G165" si="14">F165*E165</f>
        <v>0</v>
      </c>
    </row>
    <row r="166" spans="1:9" s="105" customFormat="1" x14ac:dyDescent="0.2">
      <c r="B166" s="83"/>
      <c r="C166" s="63"/>
      <c r="D166" s="106"/>
      <c r="E166" s="107"/>
      <c r="F166" s="108"/>
      <c r="G166" s="109"/>
    </row>
    <row r="167" spans="1:9" ht="25.5" x14ac:dyDescent="0.2">
      <c r="B167" s="31" t="s">
        <v>113</v>
      </c>
      <c r="C167" s="63" t="str">
        <f>C136</f>
        <v>Red manual call point units, complete with protect cover, surface mounted on wall or structure</v>
      </c>
      <c r="D167" s="23" t="str">
        <f>D136</f>
        <v>No.</v>
      </c>
      <c r="E167" s="24">
        <f>E136</f>
        <v>5</v>
      </c>
      <c r="F167" s="40">
        <v>0</v>
      </c>
      <c r="G167" s="41">
        <f t="shared" ref="G167" si="15">F167*E167</f>
        <v>0</v>
      </c>
    </row>
    <row r="168" spans="1:9" x14ac:dyDescent="0.2">
      <c r="B168" s="83"/>
      <c r="C168" s="63"/>
      <c r="E168" s="24"/>
      <c r="F168" s="86"/>
      <c r="G168" s="87"/>
    </row>
    <row r="169" spans="1:9" ht="25.5" x14ac:dyDescent="0.2">
      <c r="B169" s="31" t="s">
        <v>128</v>
      </c>
      <c r="C169" s="63" t="str">
        <f>C138</f>
        <v>Strobe / Sounder combination, mounted on 65 mm diameter drawbox on walls/structure.</v>
      </c>
      <c r="D169" s="23" t="str">
        <f>D138</f>
        <v>No.</v>
      </c>
      <c r="E169" s="24">
        <f>E138</f>
        <v>1</v>
      </c>
      <c r="F169" s="40">
        <v>0</v>
      </c>
      <c r="G169" s="41">
        <f t="shared" ref="G169" si="16">F169*E169</f>
        <v>0</v>
      </c>
    </row>
    <row r="170" spans="1:9" x14ac:dyDescent="0.2">
      <c r="B170" s="83"/>
      <c r="C170" s="63"/>
      <c r="E170" s="24"/>
      <c r="F170" s="86"/>
      <c r="G170" s="87"/>
    </row>
    <row r="171" spans="1:9" ht="25.5" x14ac:dyDescent="0.2">
      <c r="B171" s="31" t="s">
        <v>114</v>
      </c>
      <c r="C171" s="63" t="str">
        <f>C140</f>
        <v>I/O device to communicate with the other control panels, in the event of a fire</v>
      </c>
      <c r="D171" s="23" t="str">
        <f>D140</f>
        <v>No.</v>
      </c>
      <c r="E171" s="24">
        <f>E140</f>
        <v>1</v>
      </c>
      <c r="F171" s="40">
        <v>0</v>
      </c>
      <c r="G171" s="41">
        <f t="shared" ref="G171" si="17">F171*E171</f>
        <v>0</v>
      </c>
    </row>
    <row r="172" spans="1:9" x14ac:dyDescent="0.2">
      <c r="B172" s="83"/>
      <c r="C172" s="63"/>
      <c r="E172" s="24"/>
      <c r="F172" s="86"/>
      <c r="G172" s="87"/>
    </row>
    <row r="173" spans="1:9" ht="25.5" x14ac:dyDescent="0.2">
      <c r="B173" s="31" t="s">
        <v>115</v>
      </c>
      <c r="C173" s="63" t="str">
        <f>C142</f>
        <v>I/O device, 230V, to control smoke extract fans or other mechanical device/fans in the event of a fire</v>
      </c>
      <c r="D173" s="23" t="str">
        <f>D142</f>
        <v>No.</v>
      </c>
      <c r="E173" s="24">
        <f>E142</f>
        <v>2</v>
      </c>
      <c r="F173" s="40">
        <v>0</v>
      </c>
      <c r="G173" s="41">
        <f t="shared" ref="G173" si="18">F173*E173</f>
        <v>0</v>
      </c>
    </row>
    <row r="174" spans="1:9" x14ac:dyDescent="0.2">
      <c r="B174" s="83"/>
      <c r="C174" s="63"/>
      <c r="E174" s="24"/>
      <c r="F174" s="86"/>
      <c r="G174" s="87"/>
    </row>
    <row r="175" spans="1:9" ht="25.5" x14ac:dyDescent="0.2">
      <c r="B175" s="31" t="s">
        <v>116</v>
      </c>
      <c r="C175" s="63" t="str">
        <f>C144</f>
        <v>Interconnecting cabling between the Fire Detection elements and the Fire Detection alarm panel - PH30</v>
      </c>
      <c r="D175" s="23" t="str">
        <f>D144</f>
        <v>m</v>
      </c>
      <c r="E175" s="24">
        <f>E144</f>
        <v>300</v>
      </c>
      <c r="F175" s="40">
        <v>0</v>
      </c>
      <c r="G175" s="41">
        <f t="shared" ref="G175" si="19">F175*E175</f>
        <v>0</v>
      </c>
    </row>
    <row r="176" spans="1:9" x14ac:dyDescent="0.2">
      <c r="B176" s="83"/>
      <c r="C176" s="63"/>
      <c r="E176" s="24"/>
      <c r="F176" s="86"/>
      <c r="G176" s="87"/>
    </row>
    <row r="177" spans="1:8" ht="25.5" x14ac:dyDescent="0.2">
      <c r="B177" s="31" t="s">
        <v>117</v>
      </c>
      <c r="C177" s="63" t="str">
        <f>C146</f>
        <v>Strobe / Sounder Surface mounted, IP65, for external use and visual and audible for security.</v>
      </c>
      <c r="D177" s="23" t="str">
        <f>D146</f>
        <v>No.</v>
      </c>
      <c r="E177" s="24">
        <f>E146</f>
        <v>1</v>
      </c>
      <c r="F177" s="40">
        <v>0</v>
      </c>
      <c r="G177" s="41">
        <f t="shared" ref="G177" si="20">F177*E177</f>
        <v>0</v>
      </c>
    </row>
    <row r="178" spans="1:8" x14ac:dyDescent="0.2">
      <c r="B178" s="83"/>
      <c r="C178" s="63"/>
      <c r="E178" s="24"/>
      <c r="G178" s="41"/>
    </row>
    <row r="179" spans="1:8" ht="25.5" x14ac:dyDescent="0.2">
      <c r="B179" s="31" t="s">
        <v>123</v>
      </c>
      <c r="C179" s="63" t="str">
        <f>C148</f>
        <v>Remote LED indication light for ceiling void smoke detectors.</v>
      </c>
      <c r="D179" s="23" t="str">
        <f>D148</f>
        <v>No.</v>
      </c>
      <c r="E179" s="24">
        <f>E148</f>
        <v>5</v>
      </c>
      <c r="F179" s="40">
        <v>0</v>
      </c>
      <c r="G179" s="41">
        <f t="shared" ref="G179" si="21">F179*E179</f>
        <v>0</v>
      </c>
    </row>
    <row r="180" spans="1:8" x14ac:dyDescent="0.2">
      <c r="B180" s="83"/>
      <c r="C180" s="63"/>
      <c r="E180" s="24"/>
      <c r="F180" s="86"/>
      <c r="G180" s="87"/>
    </row>
    <row r="181" spans="1:8" x14ac:dyDescent="0.2">
      <c r="B181" s="51">
        <v>3.2</v>
      </c>
      <c r="C181" s="49" t="s">
        <v>49</v>
      </c>
      <c r="E181" s="24"/>
      <c r="F181" s="40"/>
      <c r="G181" s="41"/>
    </row>
    <row r="182" spans="1:8" x14ac:dyDescent="0.2">
      <c r="B182" s="83"/>
      <c r="C182" s="85"/>
      <c r="E182" s="24"/>
      <c r="F182" s="86"/>
      <c r="G182" s="87"/>
    </row>
    <row r="183" spans="1:8" ht="25.5" x14ac:dyDescent="0.2">
      <c r="B183" s="110" t="s">
        <v>69</v>
      </c>
      <c r="C183" s="28" t="s">
        <v>13</v>
      </c>
      <c r="D183" s="23" t="s">
        <v>6</v>
      </c>
      <c r="E183" s="24">
        <v>1</v>
      </c>
      <c r="F183" s="40">
        <v>0</v>
      </c>
      <c r="G183" s="41">
        <f t="shared" ref="G183" si="22">F183*E183</f>
        <v>0</v>
      </c>
    </row>
    <row r="184" spans="1:8" x14ac:dyDescent="0.2">
      <c r="B184" s="111"/>
      <c r="C184" s="28"/>
      <c r="E184" s="24"/>
      <c r="F184" s="40"/>
      <c r="G184" s="41"/>
    </row>
    <row r="185" spans="1:8" ht="25.5" x14ac:dyDescent="0.2">
      <c r="B185" s="110" t="s">
        <v>70</v>
      </c>
      <c r="C185" s="28" t="s">
        <v>14</v>
      </c>
      <c r="D185" s="23" t="s">
        <v>6</v>
      </c>
      <c r="E185" s="24">
        <v>1</v>
      </c>
      <c r="F185" s="40">
        <v>0</v>
      </c>
      <c r="G185" s="41">
        <f>F185*E185</f>
        <v>0</v>
      </c>
    </row>
    <row r="186" spans="1:8" s="37" customFormat="1" x14ac:dyDescent="0.2">
      <c r="B186" s="38" t="s">
        <v>27</v>
      </c>
      <c r="C186" s="39" t="s">
        <v>27</v>
      </c>
      <c r="D186" s="24" t="s">
        <v>27</v>
      </c>
      <c r="E186" s="24" t="s">
        <v>27</v>
      </c>
      <c r="F186" s="40"/>
      <c r="G186" s="41"/>
      <c r="H186" s="42"/>
    </row>
    <row r="187" spans="1:8" s="7" customFormat="1" ht="20.25" customHeight="1" thickBot="1" x14ac:dyDescent="0.25">
      <c r="B187" s="171" t="s">
        <v>130</v>
      </c>
      <c r="C187" s="172"/>
      <c r="D187" s="172"/>
      <c r="E187" s="172"/>
      <c r="F187" s="173"/>
      <c r="G187" s="43">
        <f>SUM(G161:G186)</f>
        <v>0</v>
      </c>
      <c r="H187" s="44"/>
    </row>
    <row r="188" spans="1:8" s="7" customFormat="1" ht="20.25" customHeight="1" thickTop="1" thickBot="1" x14ac:dyDescent="0.25">
      <c r="B188" s="112"/>
      <c r="C188" s="113"/>
      <c r="D188" s="113"/>
      <c r="E188" s="113"/>
      <c r="F188" s="114"/>
      <c r="G188" s="115"/>
      <c r="H188" s="44"/>
    </row>
    <row r="189" spans="1:8" s="15" customFormat="1" ht="19.5" customHeight="1" thickBot="1" x14ac:dyDescent="0.25">
      <c r="A189" s="8"/>
      <c r="B189" s="9" t="s">
        <v>0</v>
      </c>
      <c r="C189" s="10" t="s">
        <v>1</v>
      </c>
      <c r="D189" s="11" t="s">
        <v>2</v>
      </c>
      <c r="E189" s="12" t="s">
        <v>3</v>
      </c>
      <c r="F189" s="13" t="s">
        <v>4</v>
      </c>
      <c r="G189" s="14" t="s">
        <v>5</v>
      </c>
    </row>
    <row r="190" spans="1:8" s="69" customFormat="1" x14ac:dyDescent="0.2">
      <c r="A190" s="61"/>
      <c r="B190" s="71"/>
      <c r="C190" s="70"/>
      <c r="D190" s="64"/>
      <c r="E190" s="65"/>
      <c r="F190" s="76"/>
      <c r="G190" s="67"/>
      <c r="H190" s="68"/>
    </row>
    <row r="191" spans="1:8" x14ac:dyDescent="0.2">
      <c r="B191" s="21">
        <v>4</v>
      </c>
      <c r="C191" s="49" t="s">
        <v>33</v>
      </c>
      <c r="D191" s="79"/>
      <c r="E191" s="80"/>
      <c r="F191" s="81"/>
      <c r="G191" s="82"/>
    </row>
    <row r="192" spans="1:8" x14ac:dyDescent="0.2">
      <c r="B192" s="51"/>
      <c r="C192" s="49"/>
      <c r="D192" s="79"/>
      <c r="E192" s="80"/>
      <c r="F192" s="81"/>
      <c r="G192" s="82"/>
    </row>
    <row r="193" spans="2:8" x14ac:dyDescent="0.2">
      <c r="B193" s="30">
        <v>4.0999999999999996</v>
      </c>
      <c r="C193" s="22" t="s">
        <v>34</v>
      </c>
      <c r="E193" s="24"/>
      <c r="F193" s="40"/>
      <c r="G193" s="41"/>
    </row>
    <row r="194" spans="2:8" x14ac:dyDescent="0.2">
      <c r="B194" s="83"/>
      <c r="C194" s="28" t="s">
        <v>77</v>
      </c>
      <c r="D194" s="23" t="s">
        <v>6</v>
      </c>
      <c r="E194" s="24">
        <v>1</v>
      </c>
      <c r="F194" s="40">
        <v>0</v>
      </c>
      <c r="G194" s="41">
        <f>F194*E194</f>
        <v>0</v>
      </c>
    </row>
    <row r="195" spans="2:8" x14ac:dyDescent="0.2">
      <c r="B195" s="83"/>
      <c r="C195" s="85"/>
      <c r="E195" s="24"/>
      <c r="F195" s="40"/>
      <c r="G195" s="41"/>
    </row>
    <row r="196" spans="2:8" x14ac:dyDescent="0.2">
      <c r="B196" s="30">
        <v>4.2</v>
      </c>
      <c r="C196" s="22" t="s">
        <v>35</v>
      </c>
      <c r="E196" s="24"/>
      <c r="F196" s="86"/>
      <c r="G196" s="87"/>
    </row>
    <row r="197" spans="2:8" ht="25.5" x14ac:dyDescent="0.2">
      <c r="B197" s="83"/>
      <c r="C197" s="28" t="s">
        <v>36</v>
      </c>
      <c r="D197" s="23" t="s">
        <v>6</v>
      </c>
      <c r="E197" s="24">
        <v>1</v>
      </c>
      <c r="F197" s="40">
        <v>0</v>
      </c>
      <c r="G197" s="41">
        <f>F197*E197</f>
        <v>0</v>
      </c>
    </row>
    <row r="198" spans="2:8" x14ac:dyDescent="0.2">
      <c r="B198" s="83"/>
      <c r="C198" s="85"/>
      <c r="E198" s="24"/>
      <c r="F198" s="86"/>
      <c r="G198" s="87"/>
    </row>
    <row r="199" spans="2:8" x14ac:dyDescent="0.2">
      <c r="B199" s="30">
        <v>4.3</v>
      </c>
      <c r="C199" s="22" t="s">
        <v>37</v>
      </c>
      <c r="E199" s="24"/>
      <c r="F199" s="86"/>
      <c r="G199" s="87"/>
    </row>
    <row r="200" spans="2:8" x14ac:dyDescent="0.2">
      <c r="B200" s="83"/>
      <c r="C200" s="28" t="s">
        <v>38</v>
      </c>
      <c r="D200" s="23" t="s">
        <v>6</v>
      </c>
      <c r="E200" s="24">
        <v>1</v>
      </c>
      <c r="F200" s="40">
        <v>0</v>
      </c>
      <c r="G200" s="41">
        <f>F200*E200</f>
        <v>0</v>
      </c>
    </row>
    <row r="201" spans="2:8" x14ac:dyDescent="0.2">
      <c r="B201" s="83"/>
      <c r="C201" s="28"/>
      <c r="E201" s="24"/>
      <c r="F201" s="40"/>
      <c r="G201" s="41"/>
    </row>
    <row r="202" spans="2:8" x14ac:dyDescent="0.2">
      <c r="B202" s="83"/>
      <c r="C202" s="28"/>
      <c r="E202" s="24"/>
      <c r="F202" s="40"/>
      <c r="G202" s="41"/>
    </row>
    <row r="203" spans="2:8" x14ac:dyDescent="0.2">
      <c r="B203" s="83"/>
      <c r="C203" s="28"/>
      <c r="E203" s="24"/>
      <c r="F203" s="40"/>
      <c r="G203" s="41"/>
    </row>
    <row r="204" spans="2:8" x14ac:dyDescent="0.2">
      <c r="B204" s="83"/>
      <c r="C204" s="28"/>
      <c r="E204" s="24"/>
      <c r="F204" s="40"/>
      <c r="G204" s="41"/>
    </row>
    <row r="205" spans="2:8" x14ac:dyDescent="0.2">
      <c r="B205" s="83"/>
      <c r="C205" s="28"/>
      <c r="E205" s="24"/>
      <c r="F205" s="40"/>
      <c r="G205" s="41"/>
    </row>
    <row r="206" spans="2:8" x14ac:dyDescent="0.2">
      <c r="B206" s="83"/>
      <c r="C206" s="28"/>
      <c r="E206" s="24"/>
      <c r="F206" s="40"/>
      <c r="G206" s="41"/>
    </row>
    <row r="207" spans="2:8" x14ac:dyDescent="0.2">
      <c r="B207" s="83"/>
      <c r="C207" s="28"/>
      <c r="E207" s="24"/>
      <c r="F207" s="40"/>
      <c r="G207" s="41"/>
    </row>
    <row r="208" spans="2:8" s="37" customFormat="1" x14ac:dyDescent="0.2">
      <c r="B208" s="38" t="s">
        <v>27</v>
      </c>
      <c r="C208" s="39" t="s">
        <v>27</v>
      </c>
      <c r="D208" s="24" t="s">
        <v>27</v>
      </c>
      <c r="E208" s="24" t="s">
        <v>27</v>
      </c>
      <c r="F208" s="40"/>
      <c r="G208" s="41"/>
      <c r="H208" s="42"/>
    </row>
    <row r="209" spans="1:8" s="7" customFormat="1" ht="20.25" customHeight="1" thickBot="1" x14ac:dyDescent="0.25">
      <c r="B209" s="171" t="s">
        <v>118</v>
      </c>
      <c r="C209" s="172"/>
      <c r="D209" s="172"/>
      <c r="E209" s="172"/>
      <c r="F209" s="173"/>
      <c r="G209" s="43">
        <f>SUM(G191:G208)</f>
        <v>0</v>
      </c>
      <c r="H209" s="44"/>
    </row>
    <row r="210" spans="1:8" s="7" customFormat="1" ht="6.75" customHeight="1" thickTop="1" thickBot="1" x14ac:dyDescent="0.25">
      <c r="B210" s="45"/>
      <c r="C210" s="46"/>
      <c r="D210" s="46"/>
      <c r="E210" s="46"/>
      <c r="F210" s="47"/>
      <c r="G210" s="48"/>
      <c r="H210" s="44"/>
    </row>
    <row r="211" spans="1:8" s="15" customFormat="1" ht="19.5" customHeight="1" thickBot="1" x14ac:dyDescent="0.25">
      <c r="A211" s="8"/>
      <c r="B211" s="9" t="s">
        <v>0</v>
      </c>
      <c r="C211" s="10" t="s">
        <v>1</v>
      </c>
      <c r="D211" s="11" t="s">
        <v>2</v>
      </c>
      <c r="E211" s="12" t="s">
        <v>3</v>
      </c>
      <c r="F211" s="13" t="s">
        <v>4</v>
      </c>
      <c r="G211" s="14" t="s">
        <v>5</v>
      </c>
    </row>
    <row r="212" spans="1:8" x14ac:dyDescent="0.2">
      <c r="B212" s="83"/>
      <c r="C212" s="85"/>
      <c r="D212" s="79"/>
      <c r="E212" s="80"/>
      <c r="G212" s="41"/>
    </row>
    <row r="213" spans="1:8" ht="38.25" x14ac:dyDescent="0.2">
      <c r="B213" s="116">
        <v>5</v>
      </c>
      <c r="C213" s="49" t="s">
        <v>24</v>
      </c>
      <c r="D213" s="79"/>
      <c r="E213" s="80"/>
      <c r="F213" s="81"/>
      <c r="G213" s="117"/>
    </row>
    <row r="214" spans="1:8" x14ac:dyDescent="0.2">
      <c r="B214" s="118"/>
      <c r="C214" s="49"/>
      <c r="D214" s="79"/>
      <c r="E214" s="80"/>
      <c r="F214" s="81"/>
      <c r="G214" s="117"/>
    </row>
    <row r="215" spans="1:8" x14ac:dyDescent="0.2">
      <c r="B215" s="119"/>
      <c r="C215" s="120" t="s">
        <v>12</v>
      </c>
      <c r="D215" s="79"/>
      <c r="E215" s="80"/>
      <c r="F215" s="81"/>
      <c r="G215" s="117"/>
    </row>
    <row r="216" spans="1:8" x14ac:dyDescent="0.2">
      <c r="B216" s="119"/>
      <c r="C216" s="120"/>
      <c r="D216" s="79"/>
      <c r="E216" s="80"/>
      <c r="F216" s="81"/>
      <c r="G216" s="117"/>
    </row>
    <row r="217" spans="1:8" x14ac:dyDescent="0.2">
      <c r="B217" s="121">
        <v>5.0999999999999996</v>
      </c>
      <c r="C217" s="122"/>
      <c r="D217" s="120"/>
      <c r="E217" s="120"/>
      <c r="F217" s="40"/>
      <c r="G217" s="123"/>
    </row>
    <row r="218" spans="1:8" x14ac:dyDescent="0.2">
      <c r="B218" s="119"/>
      <c r="C218" s="122"/>
      <c r="D218" s="122"/>
      <c r="E218" s="122"/>
      <c r="F218" s="40">
        <v>0</v>
      </c>
      <c r="G218" s="123">
        <f>F218*E218</f>
        <v>0</v>
      </c>
    </row>
    <row r="219" spans="1:8" x14ac:dyDescent="0.2">
      <c r="B219" s="119"/>
      <c r="C219" s="120"/>
      <c r="D219" s="79"/>
      <c r="E219" s="80"/>
      <c r="F219" s="81"/>
      <c r="G219" s="117"/>
    </row>
    <row r="220" spans="1:8" x14ac:dyDescent="0.2">
      <c r="B220" s="121">
        <v>5.2</v>
      </c>
      <c r="C220" s="122"/>
      <c r="D220" s="120"/>
      <c r="E220" s="120"/>
      <c r="F220" s="40"/>
      <c r="G220" s="123"/>
    </row>
    <row r="221" spans="1:8" x14ac:dyDescent="0.2">
      <c r="B221" s="119"/>
      <c r="C221" s="122"/>
      <c r="D221" s="122"/>
      <c r="E221" s="122"/>
      <c r="F221" s="40">
        <v>0</v>
      </c>
      <c r="G221" s="123">
        <f>F221*E221</f>
        <v>0</v>
      </c>
    </row>
    <row r="222" spans="1:8" x14ac:dyDescent="0.2">
      <c r="B222" s="119"/>
      <c r="C222" s="120"/>
      <c r="D222" s="60"/>
      <c r="E222" s="120"/>
      <c r="G222" s="123"/>
    </row>
    <row r="223" spans="1:8" x14ac:dyDescent="0.2">
      <c r="B223" s="121">
        <v>5.3</v>
      </c>
      <c r="C223" s="122"/>
      <c r="D223" s="120"/>
      <c r="E223" s="120"/>
      <c r="F223" s="40"/>
      <c r="G223" s="123"/>
    </row>
    <row r="224" spans="1:8" x14ac:dyDescent="0.2">
      <c r="B224" s="119"/>
      <c r="C224" s="122"/>
      <c r="D224" s="122"/>
      <c r="E224" s="122"/>
      <c r="F224" s="40">
        <v>0</v>
      </c>
      <c r="G224" s="123">
        <f>F224*E224</f>
        <v>0</v>
      </c>
    </row>
    <row r="225" spans="2:7" x14ac:dyDescent="0.2">
      <c r="B225" s="119"/>
      <c r="C225" s="120"/>
      <c r="D225" s="60"/>
      <c r="E225" s="120"/>
      <c r="G225" s="123"/>
    </row>
    <row r="226" spans="2:7" x14ac:dyDescent="0.2">
      <c r="B226" s="121">
        <v>5.4</v>
      </c>
      <c r="C226" s="122"/>
      <c r="D226" s="120"/>
      <c r="E226" s="120"/>
      <c r="F226" s="40"/>
      <c r="G226" s="123"/>
    </row>
    <row r="227" spans="2:7" x14ac:dyDescent="0.2">
      <c r="B227" s="119"/>
      <c r="C227" s="122"/>
      <c r="D227" s="122"/>
      <c r="E227" s="122"/>
      <c r="F227" s="40">
        <v>0</v>
      </c>
      <c r="G227" s="123">
        <f>F227*E227</f>
        <v>0</v>
      </c>
    </row>
    <row r="228" spans="2:7" x14ac:dyDescent="0.2">
      <c r="B228" s="119"/>
      <c r="C228" s="120"/>
      <c r="D228" s="60"/>
      <c r="E228" s="120"/>
      <c r="G228" s="123"/>
    </row>
    <row r="229" spans="2:7" x14ac:dyDescent="0.2">
      <c r="B229" s="119"/>
      <c r="C229" s="120"/>
      <c r="D229" s="60"/>
      <c r="E229" s="120"/>
      <c r="G229" s="123"/>
    </row>
    <row r="230" spans="2:7" x14ac:dyDescent="0.2">
      <c r="B230" s="119"/>
      <c r="C230" s="120"/>
      <c r="D230" s="60"/>
      <c r="E230" s="120"/>
      <c r="G230" s="123"/>
    </row>
    <row r="231" spans="2:7" x14ac:dyDescent="0.2">
      <c r="B231" s="119"/>
      <c r="C231" s="120"/>
      <c r="D231" s="60"/>
      <c r="E231" s="120"/>
      <c r="G231" s="123"/>
    </row>
    <row r="232" spans="2:7" x14ac:dyDescent="0.2">
      <c r="B232" s="119"/>
      <c r="C232" s="120"/>
      <c r="D232" s="60"/>
      <c r="E232" s="120"/>
      <c r="G232" s="123"/>
    </row>
    <row r="233" spans="2:7" x14ac:dyDescent="0.2">
      <c r="B233" s="119"/>
      <c r="C233" s="120"/>
      <c r="D233" s="60"/>
      <c r="E233" s="120"/>
      <c r="G233" s="123"/>
    </row>
    <row r="234" spans="2:7" x14ac:dyDescent="0.2">
      <c r="B234" s="119"/>
      <c r="C234" s="120"/>
      <c r="D234" s="60"/>
      <c r="E234" s="120"/>
      <c r="G234" s="123"/>
    </row>
    <row r="235" spans="2:7" x14ac:dyDescent="0.2">
      <c r="B235" s="119"/>
      <c r="C235" s="120"/>
      <c r="D235" s="60"/>
      <c r="E235" s="120"/>
      <c r="G235" s="123"/>
    </row>
    <row r="236" spans="2:7" x14ac:dyDescent="0.2">
      <c r="B236" s="119"/>
      <c r="C236" s="120"/>
      <c r="D236" s="60"/>
      <c r="E236" s="120"/>
      <c r="G236" s="123"/>
    </row>
    <row r="237" spans="2:7" x14ac:dyDescent="0.2">
      <c r="B237" s="119"/>
      <c r="C237" s="120"/>
      <c r="D237" s="60"/>
      <c r="E237" s="120"/>
      <c r="G237" s="123"/>
    </row>
    <row r="238" spans="2:7" x14ac:dyDescent="0.2">
      <c r="B238" s="119"/>
      <c r="C238" s="120"/>
      <c r="D238" s="60"/>
      <c r="E238" s="120"/>
      <c r="G238" s="123"/>
    </row>
    <row r="239" spans="2:7" x14ac:dyDescent="0.2">
      <c r="B239" s="119"/>
      <c r="C239" s="120"/>
      <c r="D239" s="60"/>
      <c r="E239" s="120"/>
      <c r="G239" s="123"/>
    </row>
    <row r="240" spans="2:7" x14ac:dyDescent="0.2">
      <c r="B240" s="119"/>
      <c r="C240" s="120"/>
      <c r="D240" s="60"/>
      <c r="E240" s="120"/>
      <c r="G240" s="123"/>
    </row>
    <row r="241" spans="2:7" x14ac:dyDescent="0.2">
      <c r="B241" s="119"/>
      <c r="C241" s="120"/>
      <c r="D241" s="60"/>
      <c r="E241" s="120"/>
      <c r="G241" s="123"/>
    </row>
    <row r="242" spans="2:7" x14ac:dyDescent="0.2">
      <c r="B242" s="119"/>
      <c r="C242" s="120"/>
      <c r="D242" s="60"/>
      <c r="E242" s="120"/>
      <c r="G242" s="123"/>
    </row>
    <row r="243" spans="2:7" x14ac:dyDescent="0.2">
      <c r="B243" s="119"/>
      <c r="C243" s="120"/>
      <c r="D243" s="60"/>
      <c r="E243" s="120"/>
      <c r="G243" s="123"/>
    </row>
    <row r="244" spans="2:7" x14ac:dyDescent="0.2">
      <c r="B244" s="119"/>
      <c r="C244" s="120"/>
      <c r="D244" s="60"/>
      <c r="E244" s="120"/>
      <c r="G244" s="123"/>
    </row>
    <row r="245" spans="2:7" x14ac:dyDescent="0.2">
      <c r="B245" s="119"/>
      <c r="C245" s="120"/>
      <c r="D245" s="60"/>
      <c r="E245" s="120"/>
      <c r="G245" s="123"/>
    </row>
    <row r="246" spans="2:7" x14ac:dyDescent="0.2">
      <c r="B246" s="119"/>
      <c r="C246" s="120"/>
      <c r="D246" s="60"/>
      <c r="E246" s="120"/>
      <c r="G246" s="123"/>
    </row>
    <row r="247" spans="2:7" x14ac:dyDescent="0.2">
      <c r="B247" s="119"/>
      <c r="C247" s="120"/>
      <c r="D247" s="60"/>
      <c r="E247" s="120"/>
      <c r="G247" s="123"/>
    </row>
    <row r="248" spans="2:7" x14ac:dyDescent="0.2">
      <c r="B248" s="119"/>
      <c r="C248" s="120"/>
      <c r="D248" s="60"/>
      <c r="E248" s="120"/>
      <c r="G248" s="123"/>
    </row>
    <row r="249" spans="2:7" x14ac:dyDescent="0.2">
      <c r="B249" s="119"/>
      <c r="C249" s="120"/>
      <c r="D249" s="60"/>
      <c r="E249" s="120"/>
      <c r="G249" s="123"/>
    </row>
    <row r="250" spans="2:7" x14ac:dyDescent="0.2">
      <c r="B250" s="119"/>
      <c r="C250" s="120"/>
      <c r="D250" s="60"/>
      <c r="E250" s="120"/>
      <c r="G250" s="123"/>
    </row>
    <row r="251" spans="2:7" x14ac:dyDescent="0.2">
      <c r="B251" s="119"/>
      <c r="C251" s="120"/>
      <c r="D251" s="60"/>
      <c r="E251" s="120"/>
      <c r="G251" s="123"/>
    </row>
    <row r="252" spans="2:7" x14ac:dyDescent="0.2">
      <c r="B252" s="119"/>
      <c r="C252" s="120"/>
      <c r="D252" s="60"/>
      <c r="E252" s="120"/>
      <c r="G252" s="123"/>
    </row>
    <row r="253" spans="2:7" x14ac:dyDescent="0.2">
      <c r="B253" s="119"/>
      <c r="C253" s="120"/>
      <c r="D253" s="60"/>
      <c r="E253" s="120"/>
      <c r="G253" s="123"/>
    </row>
    <row r="254" spans="2:7" x14ac:dyDescent="0.2">
      <c r="B254" s="119"/>
      <c r="C254" s="120"/>
      <c r="D254" s="60"/>
      <c r="E254" s="120"/>
      <c r="G254" s="123"/>
    </row>
    <row r="255" spans="2:7" x14ac:dyDescent="0.2">
      <c r="B255" s="119"/>
      <c r="C255" s="120"/>
      <c r="D255" s="60"/>
      <c r="E255" s="120"/>
      <c r="G255" s="123"/>
    </row>
    <row r="256" spans="2:7" x14ac:dyDescent="0.2">
      <c r="B256" s="119"/>
      <c r="C256" s="120"/>
      <c r="D256" s="60"/>
      <c r="E256" s="120"/>
      <c r="G256" s="123"/>
    </row>
    <row r="257" spans="2:7" x14ac:dyDescent="0.2">
      <c r="B257" s="119"/>
      <c r="C257" s="120"/>
      <c r="D257" s="60"/>
      <c r="E257" s="120"/>
      <c r="G257" s="123"/>
    </row>
    <row r="258" spans="2:7" x14ac:dyDescent="0.2">
      <c r="B258" s="119"/>
      <c r="C258" s="120"/>
      <c r="D258" s="60"/>
      <c r="E258" s="120"/>
      <c r="G258" s="123"/>
    </row>
    <row r="259" spans="2:7" x14ac:dyDescent="0.2">
      <c r="B259" s="119"/>
      <c r="C259" s="120"/>
      <c r="D259" s="60"/>
      <c r="E259" s="120"/>
      <c r="G259" s="123"/>
    </row>
    <row r="260" spans="2:7" x14ac:dyDescent="0.2">
      <c r="B260" s="119"/>
      <c r="C260" s="120"/>
      <c r="D260" s="60"/>
      <c r="E260" s="120"/>
      <c r="G260" s="123"/>
    </row>
    <row r="261" spans="2:7" x14ac:dyDescent="0.2">
      <c r="B261" s="119"/>
      <c r="C261" s="120"/>
      <c r="D261" s="60"/>
      <c r="E261" s="120"/>
      <c r="G261" s="123"/>
    </row>
    <row r="262" spans="2:7" x14ac:dyDescent="0.2">
      <c r="B262" s="119"/>
      <c r="C262" s="120"/>
      <c r="D262" s="60"/>
      <c r="E262" s="120"/>
      <c r="G262" s="123"/>
    </row>
    <row r="263" spans="2:7" x14ac:dyDescent="0.2">
      <c r="B263" s="119"/>
      <c r="C263" s="120"/>
      <c r="D263" s="60"/>
      <c r="E263" s="120"/>
      <c r="G263" s="123"/>
    </row>
    <row r="264" spans="2:7" x14ac:dyDescent="0.2">
      <c r="B264" s="119"/>
      <c r="C264" s="120"/>
      <c r="D264" s="60"/>
      <c r="E264" s="120"/>
      <c r="G264" s="123"/>
    </row>
    <row r="265" spans="2:7" x14ac:dyDescent="0.2">
      <c r="B265" s="119"/>
      <c r="C265" s="120"/>
      <c r="D265" s="60"/>
      <c r="E265" s="120"/>
      <c r="G265" s="123"/>
    </row>
    <row r="266" spans="2:7" x14ac:dyDescent="0.2">
      <c r="B266" s="119"/>
      <c r="C266" s="120"/>
      <c r="D266" s="60"/>
      <c r="E266" s="120"/>
      <c r="G266" s="123"/>
    </row>
    <row r="267" spans="2:7" x14ac:dyDescent="0.2">
      <c r="B267" s="119"/>
      <c r="C267" s="120"/>
      <c r="D267" s="60"/>
      <c r="E267" s="120"/>
      <c r="G267" s="123"/>
    </row>
    <row r="268" spans="2:7" x14ac:dyDescent="0.2">
      <c r="B268" s="119"/>
      <c r="C268" s="120"/>
      <c r="D268" s="60"/>
      <c r="E268" s="120"/>
      <c r="G268" s="123"/>
    </row>
    <row r="269" spans="2:7" x14ac:dyDescent="0.2">
      <c r="B269" s="119"/>
      <c r="C269" s="120"/>
      <c r="D269" s="60"/>
      <c r="E269" s="120"/>
      <c r="G269" s="123"/>
    </row>
    <row r="270" spans="2:7" x14ac:dyDescent="0.2">
      <c r="B270" s="119"/>
      <c r="C270" s="120"/>
      <c r="D270" s="60"/>
      <c r="E270" s="120"/>
      <c r="G270" s="123"/>
    </row>
    <row r="271" spans="2:7" x14ac:dyDescent="0.2">
      <c r="B271" s="119"/>
      <c r="C271" s="120"/>
      <c r="D271" s="60"/>
      <c r="E271" s="120"/>
      <c r="G271" s="123"/>
    </row>
    <row r="272" spans="2:7" x14ac:dyDescent="0.2">
      <c r="B272" s="119"/>
      <c r="C272" s="120"/>
      <c r="D272" s="79"/>
      <c r="E272" s="80"/>
      <c r="F272" s="81"/>
      <c r="G272" s="117"/>
    </row>
    <row r="273" spans="1:8" s="7" customFormat="1" ht="20.25" customHeight="1" thickBot="1" x14ac:dyDescent="0.25">
      <c r="B273" s="171" t="s">
        <v>121</v>
      </c>
      <c r="C273" s="172"/>
      <c r="D273" s="172"/>
      <c r="E273" s="172"/>
      <c r="F273" s="173"/>
      <c r="G273" s="43">
        <f>SUM(G213:G272)</f>
        <v>0</v>
      </c>
      <c r="H273" s="44"/>
    </row>
    <row r="274" spans="1:8" s="7" customFormat="1" ht="6.75" customHeight="1" thickTop="1" thickBot="1" x14ac:dyDescent="0.25">
      <c r="B274" s="45"/>
      <c r="C274" s="46"/>
      <c r="D274" s="46"/>
      <c r="E274" s="46"/>
      <c r="F274" s="47"/>
      <c r="G274" s="48"/>
      <c r="H274" s="44"/>
    </row>
    <row r="275" spans="1:8" ht="8.1" customHeight="1" x14ac:dyDescent="0.2">
      <c r="B275" s="124"/>
      <c r="G275" s="126"/>
      <c r="H275" s="126"/>
    </row>
    <row r="276" spans="1:8" x14ac:dyDescent="0.2">
      <c r="A276" s="127"/>
      <c r="B276" s="128"/>
      <c r="C276" s="129"/>
      <c r="D276" s="128"/>
      <c r="E276" s="128"/>
      <c r="F276" s="130"/>
      <c r="G276" s="130"/>
      <c r="H276" s="127"/>
    </row>
    <row r="277" spans="1:8" ht="15" x14ac:dyDescent="0.2">
      <c r="B277" s="169" t="s">
        <v>57</v>
      </c>
      <c r="C277" s="169"/>
      <c r="D277" s="169"/>
      <c r="E277" s="169"/>
      <c r="F277" s="169"/>
      <c r="G277" s="169"/>
      <c r="H277" s="126"/>
    </row>
    <row r="278" spans="1:8" s="7" customFormat="1" ht="30" customHeight="1" x14ac:dyDescent="0.2">
      <c r="B278" s="190" t="str">
        <f>B59</f>
        <v>Containment - Sub total for Section 1</v>
      </c>
      <c r="C278" s="190"/>
      <c r="D278" s="190"/>
      <c r="E278" s="190"/>
      <c r="F278" s="190"/>
      <c r="G278" s="131">
        <f>G59</f>
        <v>25000</v>
      </c>
      <c r="H278" s="113"/>
    </row>
    <row r="279" spans="1:8" s="7" customFormat="1" ht="30" customHeight="1" x14ac:dyDescent="0.2">
      <c r="B279" s="190" t="str">
        <f>B117</f>
        <v>Containment - Sub total for Section 2</v>
      </c>
      <c r="C279" s="190"/>
      <c r="D279" s="190"/>
      <c r="E279" s="190"/>
      <c r="F279" s="190"/>
      <c r="G279" s="131">
        <f>G117</f>
        <v>0</v>
      </c>
      <c r="H279" s="113"/>
    </row>
    <row r="280" spans="1:8" s="7" customFormat="1" ht="30" customHeight="1" x14ac:dyDescent="0.2">
      <c r="B280" s="190" t="str">
        <f>B187</f>
        <v>Fire Detection System - Sub total for Section 3</v>
      </c>
      <c r="C280" s="190"/>
      <c r="D280" s="190"/>
      <c r="E280" s="190"/>
      <c r="F280" s="190"/>
      <c r="G280" s="131">
        <f>G187</f>
        <v>0</v>
      </c>
      <c r="H280" s="113"/>
    </row>
    <row r="281" spans="1:8" s="7" customFormat="1" ht="30" customHeight="1" x14ac:dyDescent="0.2">
      <c r="B281" s="190" t="str">
        <f>B209</f>
        <v>General  Items - Sub total for Section 4</v>
      </c>
      <c r="C281" s="190"/>
      <c r="D281" s="190"/>
      <c r="E281" s="190"/>
      <c r="F281" s="190"/>
      <c r="G281" s="131">
        <f>G209</f>
        <v>0</v>
      </c>
      <c r="H281" s="113"/>
    </row>
    <row r="282" spans="1:8" s="7" customFormat="1" ht="30" customHeight="1" x14ac:dyDescent="0.2">
      <c r="B282" s="190" t="str">
        <f>B273</f>
        <v>Additional Equipment - Sub total for Section 5</v>
      </c>
      <c r="C282" s="190"/>
      <c r="D282" s="190"/>
      <c r="E282" s="190"/>
      <c r="F282" s="190"/>
      <c r="G282" s="131">
        <f>G273</f>
        <v>0</v>
      </c>
      <c r="H282" s="113"/>
    </row>
    <row r="283" spans="1:8" s="7" customFormat="1" ht="18.75" customHeight="1" x14ac:dyDescent="0.2">
      <c r="B283" s="132"/>
      <c r="C283" s="5"/>
      <c r="D283" s="4"/>
      <c r="E283" s="4"/>
      <c r="F283" s="133" t="s">
        <v>58</v>
      </c>
      <c r="G283" s="134">
        <f>SUM(G278:G282)</f>
        <v>25000</v>
      </c>
      <c r="H283" s="113"/>
    </row>
    <row r="284" spans="1:8" s="7" customFormat="1" ht="18.75" customHeight="1" x14ac:dyDescent="0.2">
      <c r="B284" s="132"/>
      <c r="C284" s="5"/>
      <c r="D284" s="4"/>
      <c r="E284" s="4"/>
      <c r="F284" s="135" t="s">
        <v>59</v>
      </c>
      <c r="G284" s="131">
        <f>G283*0.15</f>
        <v>3750</v>
      </c>
      <c r="H284" s="113"/>
    </row>
    <row r="285" spans="1:8" s="7" customFormat="1" ht="30" customHeight="1" thickBot="1" x14ac:dyDescent="0.25">
      <c r="B285" s="132"/>
      <c r="C285" s="5"/>
      <c r="D285" s="4"/>
      <c r="E285" s="4"/>
      <c r="F285" s="136" t="s">
        <v>60</v>
      </c>
      <c r="G285" s="137">
        <f>G284+G283</f>
        <v>28750</v>
      </c>
      <c r="H285" s="113"/>
    </row>
    <row r="286" spans="1:8" ht="13.5" thickTop="1" x14ac:dyDescent="0.2">
      <c r="A286" s="90"/>
      <c r="B286" s="138"/>
      <c r="C286" s="139"/>
      <c r="D286" s="93"/>
      <c r="E286" s="93"/>
      <c r="F286" s="95"/>
      <c r="G286" s="140"/>
      <c r="H286" s="140"/>
    </row>
    <row r="287" spans="1:8" x14ac:dyDescent="0.2">
      <c r="B287" s="124"/>
      <c r="G287" s="126"/>
      <c r="H287" s="126"/>
    </row>
    <row r="288" spans="1:8" s="105" customFormat="1" ht="15" x14ac:dyDescent="0.2">
      <c r="B288" s="169" t="s">
        <v>61</v>
      </c>
      <c r="C288" s="169"/>
      <c r="D288" s="169"/>
      <c r="E288" s="169"/>
      <c r="F288" s="169"/>
      <c r="G288" s="169"/>
    </row>
    <row r="289" spans="1:7" s="105" customFormat="1" x14ac:dyDescent="0.2">
      <c r="B289" s="141"/>
      <c r="C289" s="142"/>
      <c r="D289" s="106"/>
      <c r="E289" s="106"/>
      <c r="F289" s="108"/>
      <c r="G289" s="108"/>
    </row>
    <row r="291" spans="1:7" s="143" customFormat="1" x14ac:dyDescent="0.2">
      <c r="A291" s="166" t="s">
        <v>71</v>
      </c>
      <c r="B291" s="166"/>
      <c r="C291" s="166"/>
      <c r="D291" s="166"/>
      <c r="E291" s="166"/>
    </row>
    <row r="292" spans="1:7" s="143" customFormat="1" x14ac:dyDescent="0.2">
      <c r="A292" s="167"/>
      <c r="B292" s="167"/>
      <c r="C292" s="167"/>
      <c r="D292" s="167"/>
      <c r="E292" s="167"/>
    </row>
    <row r="293" spans="1:7" s="143" customFormat="1" ht="43.5" customHeight="1" x14ac:dyDescent="0.2">
      <c r="A293" s="189" t="s">
        <v>28</v>
      </c>
      <c r="B293" s="189"/>
      <c r="C293" s="189"/>
      <c r="D293" s="189"/>
      <c r="E293" s="189"/>
      <c r="F293" s="189"/>
      <c r="G293" s="189"/>
    </row>
    <row r="294" spans="1:7" s="143" customFormat="1" x14ac:dyDescent="0.2">
      <c r="A294" s="168"/>
      <c r="B294" s="168"/>
      <c r="C294" s="168"/>
      <c r="D294" s="168"/>
      <c r="E294" s="168"/>
    </row>
    <row r="295" spans="1:7" s="143" customFormat="1" ht="12.75" customHeight="1" x14ac:dyDescent="0.2">
      <c r="A295" s="189" t="s">
        <v>39</v>
      </c>
      <c r="B295" s="189"/>
      <c r="C295" s="189"/>
      <c r="D295" s="189"/>
      <c r="E295" s="189"/>
      <c r="F295" s="189"/>
      <c r="G295" s="189"/>
    </row>
    <row r="296" spans="1:7" s="143" customFormat="1" x14ac:dyDescent="0.2">
      <c r="A296" s="168"/>
      <c r="B296" s="168"/>
      <c r="C296" s="168"/>
      <c r="D296" s="168"/>
      <c r="E296" s="168"/>
    </row>
    <row r="297" spans="1:7" s="143" customFormat="1" ht="43.5" customHeight="1" x14ac:dyDescent="0.2">
      <c r="A297" s="189" t="s">
        <v>29</v>
      </c>
      <c r="B297" s="189"/>
      <c r="C297" s="189"/>
      <c r="D297" s="189"/>
      <c r="E297" s="189"/>
      <c r="F297" s="189"/>
      <c r="G297" s="189"/>
    </row>
    <row r="298" spans="1:7" s="143" customFormat="1" x14ac:dyDescent="0.2">
      <c r="A298" s="144"/>
      <c r="B298" s="144"/>
      <c r="C298" s="145"/>
      <c r="D298" s="145"/>
      <c r="E298" s="145"/>
    </row>
    <row r="299" spans="1:7" s="143" customFormat="1" x14ac:dyDescent="0.2">
      <c r="A299" s="146"/>
      <c r="B299" s="146"/>
      <c r="C299" s="147"/>
      <c r="D299" s="147"/>
      <c r="E299" s="147"/>
    </row>
    <row r="300" spans="1:7" s="143" customFormat="1" x14ac:dyDescent="0.2">
      <c r="A300" s="146"/>
      <c r="B300" s="148"/>
      <c r="C300" s="149"/>
      <c r="D300" s="150"/>
      <c r="E300" s="180" t="s">
        <v>31</v>
      </c>
      <c r="F300" s="181"/>
      <c r="G300" s="182"/>
    </row>
    <row r="301" spans="1:7" x14ac:dyDescent="0.2">
      <c r="A301" s="152"/>
      <c r="C301" s="60"/>
      <c r="D301" s="153"/>
      <c r="E301" s="183"/>
      <c r="F301" s="184"/>
      <c r="G301" s="185"/>
    </row>
    <row r="302" spans="1:7" x14ac:dyDescent="0.2">
      <c r="B302" s="79"/>
      <c r="C302" s="60"/>
      <c r="D302" s="153"/>
      <c r="E302" s="183"/>
      <c r="F302" s="184"/>
      <c r="G302" s="185"/>
    </row>
    <row r="303" spans="1:7" x14ac:dyDescent="0.2">
      <c r="B303" s="154"/>
      <c r="C303" s="155"/>
      <c r="D303" s="153"/>
      <c r="E303" s="183"/>
      <c r="F303" s="184"/>
      <c r="G303" s="185"/>
    </row>
    <row r="304" spans="1:7" x14ac:dyDescent="0.2">
      <c r="B304" s="156" t="s">
        <v>30</v>
      </c>
      <c r="C304" s="60"/>
      <c r="D304" s="153"/>
      <c r="E304" s="183"/>
      <c r="F304" s="184"/>
      <c r="G304" s="185"/>
    </row>
    <row r="305" spans="1:7" x14ac:dyDescent="0.2">
      <c r="C305" s="60"/>
      <c r="D305" s="153"/>
      <c r="E305" s="183"/>
      <c r="F305" s="184"/>
      <c r="G305" s="185"/>
    </row>
    <row r="306" spans="1:7" x14ac:dyDescent="0.2">
      <c r="C306" s="60"/>
      <c r="D306" s="153"/>
      <c r="E306" s="183"/>
      <c r="F306" s="184"/>
      <c r="G306" s="185"/>
    </row>
    <row r="307" spans="1:7" x14ac:dyDescent="0.2">
      <c r="B307" s="79"/>
      <c r="C307" s="60"/>
      <c r="D307" s="153"/>
      <c r="E307" s="183"/>
      <c r="F307" s="184"/>
      <c r="G307" s="185"/>
    </row>
    <row r="308" spans="1:7" x14ac:dyDescent="0.2">
      <c r="B308" s="60"/>
      <c r="C308" s="60"/>
      <c r="D308" s="153"/>
      <c r="E308" s="183"/>
      <c r="F308" s="184"/>
      <c r="G308" s="185"/>
    </row>
    <row r="309" spans="1:7" x14ac:dyDescent="0.2">
      <c r="B309" s="157"/>
      <c r="C309" s="60"/>
      <c r="D309" s="153"/>
      <c r="E309" s="183"/>
      <c r="F309" s="184"/>
      <c r="G309" s="185"/>
    </row>
    <row r="310" spans="1:7" x14ac:dyDescent="0.2">
      <c r="A310" s="152"/>
      <c r="C310" s="60"/>
      <c r="D310" s="153"/>
      <c r="E310" s="183"/>
      <c r="F310" s="184"/>
      <c r="G310" s="185"/>
    </row>
    <row r="311" spans="1:7" x14ac:dyDescent="0.2">
      <c r="A311" s="152"/>
      <c r="C311" s="60"/>
      <c r="D311" s="153"/>
      <c r="E311" s="183"/>
      <c r="F311" s="184"/>
      <c r="G311" s="185"/>
    </row>
    <row r="312" spans="1:7" s="143" customFormat="1" x14ac:dyDescent="0.2">
      <c r="A312" s="148"/>
      <c r="B312" s="154"/>
      <c r="C312" s="158"/>
      <c r="D312" s="153"/>
      <c r="E312" s="183"/>
      <c r="F312" s="184"/>
      <c r="G312" s="185"/>
    </row>
    <row r="313" spans="1:7" s="143" customFormat="1" x14ac:dyDescent="0.2">
      <c r="A313" s="148"/>
      <c r="B313" s="156" t="s">
        <v>32</v>
      </c>
      <c r="C313" s="149"/>
      <c r="D313" s="153"/>
      <c r="E313" s="183"/>
      <c r="F313" s="184"/>
      <c r="G313" s="185"/>
    </row>
    <row r="314" spans="1:7" s="143" customFormat="1" x14ac:dyDescent="0.2">
      <c r="A314" s="148"/>
      <c r="B314" s="148"/>
      <c r="C314" s="149"/>
      <c r="D314" s="153"/>
      <c r="E314" s="183"/>
      <c r="F314" s="184"/>
      <c r="G314" s="185"/>
    </row>
    <row r="315" spans="1:7" s="143" customFormat="1" x14ac:dyDescent="0.2">
      <c r="A315" s="148"/>
      <c r="B315" s="159"/>
      <c r="C315" s="149"/>
      <c r="D315" s="153"/>
      <c r="E315" s="183"/>
      <c r="F315" s="184"/>
      <c r="G315" s="185"/>
    </row>
    <row r="316" spans="1:7" s="143" customFormat="1" x14ac:dyDescent="0.2">
      <c r="B316" s="23"/>
      <c r="C316" s="149"/>
      <c r="D316" s="153"/>
      <c r="E316" s="183"/>
      <c r="F316" s="184"/>
      <c r="G316" s="185"/>
    </row>
    <row r="317" spans="1:7" s="143" customFormat="1" x14ac:dyDescent="0.2">
      <c r="A317" s="152"/>
      <c r="B317" s="154"/>
      <c r="C317" s="158"/>
      <c r="D317" s="153"/>
      <c r="E317" s="186"/>
      <c r="F317" s="187"/>
      <c r="G317" s="188"/>
    </row>
    <row r="318" spans="1:7" s="143" customFormat="1" x14ac:dyDescent="0.2">
      <c r="A318" s="152"/>
      <c r="B318" s="164" t="s">
        <v>72</v>
      </c>
      <c r="C318" s="149"/>
      <c r="D318" s="7"/>
      <c r="E318" s="151"/>
      <c r="F318" s="151"/>
      <c r="G318" s="151"/>
    </row>
    <row r="319" spans="1:7" s="143" customFormat="1" x14ac:dyDescent="0.2">
      <c r="A319" s="152"/>
      <c r="B319" s="165"/>
      <c r="C319" s="149"/>
      <c r="D319" s="7"/>
      <c r="E319" s="4"/>
      <c r="F319" s="4"/>
      <c r="G319" s="4"/>
    </row>
    <row r="320" spans="1:7" s="143" customFormat="1" x14ac:dyDescent="0.2">
      <c r="A320" s="152"/>
      <c r="B320" s="165"/>
      <c r="C320" s="149"/>
      <c r="D320" s="7"/>
      <c r="E320" s="4"/>
      <c r="F320" s="4"/>
      <c r="G320" s="4"/>
    </row>
    <row r="321" spans="1:8" s="143" customFormat="1" x14ac:dyDescent="0.2">
      <c r="A321" s="152"/>
      <c r="B321" s="165"/>
      <c r="C321" s="149"/>
      <c r="D321" s="7"/>
      <c r="E321" s="4"/>
      <c r="F321" s="4"/>
      <c r="G321" s="4"/>
    </row>
    <row r="322" spans="1:8" s="143" customFormat="1" x14ac:dyDescent="0.2">
      <c r="A322" s="152"/>
      <c r="B322" s="165"/>
      <c r="C322" s="149"/>
      <c r="D322" s="7"/>
      <c r="E322" s="4"/>
      <c r="F322" s="4"/>
      <c r="G322" s="4"/>
    </row>
    <row r="323" spans="1:8" s="143" customFormat="1" x14ac:dyDescent="0.2">
      <c r="A323" s="152"/>
      <c r="B323" s="165"/>
      <c r="C323" s="149"/>
      <c r="D323" s="7"/>
      <c r="E323" s="4"/>
      <c r="F323" s="4"/>
      <c r="G323" s="4"/>
    </row>
    <row r="324" spans="1:8" s="143" customFormat="1" x14ac:dyDescent="0.2">
      <c r="A324" s="152"/>
      <c r="B324" s="165"/>
      <c r="C324" s="149"/>
      <c r="D324" s="7"/>
      <c r="E324" s="4"/>
      <c r="F324" s="4"/>
      <c r="G324" s="4"/>
    </row>
    <row r="325" spans="1:8" s="143" customFormat="1" x14ac:dyDescent="0.2">
      <c r="A325" s="152"/>
      <c r="B325" s="165"/>
      <c r="C325" s="149"/>
      <c r="D325" s="7"/>
      <c r="E325" s="4"/>
      <c r="F325" s="4"/>
      <c r="G325" s="4"/>
    </row>
    <row r="326" spans="1:8" s="143" customFormat="1" x14ac:dyDescent="0.2">
      <c r="A326" s="152"/>
      <c r="B326" s="165"/>
      <c r="C326" s="149"/>
      <c r="D326" s="7"/>
      <c r="E326" s="4"/>
      <c r="F326" s="4"/>
      <c r="G326" s="4"/>
    </row>
    <row r="327" spans="1:8" s="143" customFormat="1" x14ac:dyDescent="0.2">
      <c r="A327" s="152"/>
      <c r="B327" s="165"/>
      <c r="C327" s="149"/>
      <c r="D327" s="7"/>
      <c r="E327" s="4"/>
      <c r="F327" s="4"/>
      <c r="G327" s="4"/>
    </row>
    <row r="328" spans="1:8" s="143" customFormat="1" x14ac:dyDescent="0.2">
      <c r="A328" s="160"/>
      <c r="B328" s="93"/>
      <c r="C328" s="93"/>
      <c r="D328" s="161"/>
      <c r="E328" s="162"/>
      <c r="F328" s="163"/>
      <c r="G328" s="163"/>
      <c r="H328" s="163"/>
    </row>
    <row r="329" spans="1:8" s="143" customFormat="1" x14ac:dyDescent="0.2">
      <c r="A329" s="152"/>
      <c r="B329" s="23"/>
      <c r="C329" s="23"/>
      <c r="D329" s="37"/>
      <c r="E329" s="149"/>
    </row>
  </sheetData>
  <mergeCells count="23">
    <mergeCell ref="B281:F281"/>
    <mergeCell ref="B282:F282"/>
    <mergeCell ref="E300:G317"/>
    <mergeCell ref="A297:G297"/>
    <mergeCell ref="A295:G295"/>
    <mergeCell ref="A293:G293"/>
    <mergeCell ref="A296:E296"/>
    <mergeCell ref="A291:E291"/>
    <mergeCell ref="A292:E292"/>
    <mergeCell ref="A294:E294"/>
    <mergeCell ref="B277:G277"/>
    <mergeCell ref="B1:G1"/>
    <mergeCell ref="B187:F187"/>
    <mergeCell ref="B117:F117"/>
    <mergeCell ref="B273:F273"/>
    <mergeCell ref="B59:F59"/>
    <mergeCell ref="B157:F157"/>
    <mergeCell ref="B161:F161"/>
    <mergeCell ref="B209:F209"/>
    <mergeCell ref="B279:F279"/>
    <mergeCell ref="B280:F280"/>
    <mergeCell ref="B278:F278"/>
    <mergeCell ref="B288:G288"/>
  </mergeCells>
  <phoneticPr fontId="14" type="noConversion"/>
  <pageMargins left="0.70866141732283472" right="0.39370078740157483" top="0.47244094488188981" bottom="0.47244094488188981" header="0.43307086614173229" footer="0.43307086614173229"/>
  <pageSetup paperSize="10" scale="86" firstPageNumber="24" fitToHeight="0" orientation="portrait" useFirstPageNumber="1" r:id="rId1"/>
  <rowBreaks count="5" manualBreakCount="5">
    <brk id="60" max="16383" man="1"/>
    <brk id="118" max="16383" man="1"/>
    <brk id="159" max="16383" man="1"/>
    <brk id="210" max="16383" man="1"/>
    <brk id="275"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Thorndale FD</vt:lpstr>
      <vt:lpstr>'Thorndale FD'!Print_Area</vt:lpstr>
      <vt:lpstr>'Thorndale FD'!Print_Titles</vt:lpstr>
    </vt:vector>
  </TitlesOfParts>
  <Company>CA du Toit EC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Lance Bright</dc:creator>
  <cp:lastModifiedBy>Lance Bright</cp:lastModifiedBy>
  <cp:lastPrinted>2025-12-14T07:30:09Z</cp:lastPrinted>
  <dcterms:created xsi:type="dcterms:W3CDTF">2007-05-23T13:47:11Z</dcterms:created>
  <dcterms:modified xsi:type="dcterms:W3CDTF">2025-12-14T07:43:19Z</dcterms:modified>
</cp:coreProperties>
</file>