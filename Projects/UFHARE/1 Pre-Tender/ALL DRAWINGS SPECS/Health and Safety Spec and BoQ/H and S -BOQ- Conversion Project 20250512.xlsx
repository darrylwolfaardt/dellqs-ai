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 Bhana\Documents\Documents\01_SWP EL\01_Allocated Jobs Documentation\387_UFH\2025_OLD CLINIC - New Finance Offices\"/>
    </mc:Choice>
  </mc:AlternateContent>
  <xr:revisionPtr revIDLastSave="0" documentId="13_ncr:1_{C7ADB8F9-5E7E-4DFC-AD75-24D3B2A34A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HS " sheetId="1" r:id="rId1"/>
    <sheet name="Sheet2" sheetId="2" r:id="rId2"/>
    <sheet name="Sheet3" sheetId="3" r:id="rId3"/>
  </sheets>
  <definedNames>
    <definedName name="_xlnm.Print_Area" localSheetId="0">'OHS '!$A$1:$F$74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1" l="1"/>
  <c r="F42" i="1"/>
  <c r="F43" i="1"/>
  <c r="F44" i="1"/>
  <c r="F45" i="1"/>
  <c r="F64" i="1"/>
  <c r="F66" i="1"/>
  <c r="F62" i="1"/>
  <c r="F60" i="1"/>
  <c r="F59" i="1"/>
  <c r="F58" i="1"/>
  <c r="F57" i="1"/>
  <c r="F56" i="1"/>
  <c r="F55" i="1"/>
  <c r="F27" i="1" l="1"/>
  <c r="F25" i="1"/>
  <c r="F68" i="1"/>
  <c r="F69" i="1"/>
  <c r="F40" i="1"/>
  <c r="F39" i="1"/>
  <c r="F38" i="1"/>
  <c r="F50" i="1"/>
  <c r="F49" i="1"/>
  <c r="F33" i="1"/>
  <c r="F32" i="1"/>
  <c r="F31" i="1"/>
  <c r="F17" i="1"/>
  <c r="F18" i="1"/>
  <c r="F19" i="1"/>
  <c r="F20" i="1"/>
  <c r="F21" i="1"/>
  <c r="F22" i="1"/>
  <c r="F23" i="1"/>
  <c r="F16" i="1"/>
  <c r="F11" i="1"/>
  <c r="F6" i="1"/>
  <c r="F3" i="1"/>
  <c r="A6" i="1"/>
  <c r="F35" i="1" l="1" a="1"/>
  <c r="F35" i="1" s="1"/>
  <c r="F7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<sst xmlns="http://schemas.openxmlformats.org/spreadsheetml/2006/main" count="107" uniqueCount="68">
  <si>
    <t>Description</t>
  </si>
  <si>
    <t>Rate</t>
  </si>
  <si>
    <t>Quantity</t>
  </si>
  <si>
    <t>of the occupational health and safety act and</t>
  </si>
  <si>
    <t>construction regulations</t>
  </si>
  <si>
    <t>respect of the occupational health and safety act</t>
  </si>
  <si>
    <t>month</t>
  </si>
  <si>
    <t>(a)reflective vest</t>
  </si>
  <si>
    <t>(b)hard hats</t>
  </si>
  <si>
    <t>(c)protective foot wear</t>
  </si>
  <si>
    <t>(d)earplugs</t>
  </si>
  <si>
    <t>(e)dust masks</t>
  </si>
  <si>
    <t>(f)gloves</t>
  </si>
  <si>
    <t>safety officer</t>
  </si>
  <si>
    <t>prime cost (pc)sum</t>
  </si>
  <si>
    <t>prim cost (pc) sum</t>
  </si>
  <si>
    <t>%</t>
  </si>
  <si>
    <t>Total</t>
  </si>
  <si>
    <t>Principal contractors initial obligations in respect</t>
  </si>
  <si>
    <t xml:space="preserve">Principal contractor's time related obligations in </t>
  </si>
  <si>
    <t>Provision of personal protective equipment (ppe)</t>
  </si>
  <si>
    <t xml:space="preserve">Provision of a full time construction health and </t>
  </si>
  <si>
    <t>Cost of medical certificates and medical surevillance</t>
  </si>
  <si>
    <t>(a)Initial(baseline)medical examinations</t>
  </si>
  <si>
    <t>Periodic and exit examination</t>
  </si>
  <si>
    <t>(c) Contractors charges to allow for handling costs</t>
  </si>
  <si>
    <t>Provision of first aid boxes to GSR requirements</t>
  </si>
  <si>
    <t>Preparation of the contractors site specific</t>
  </si>
  <si>
    <t>Unit</t>
  </si>
  <si>
    <t>and construction regulations</t>
  </si>
  <si>
    <t xml:space="preserve">(g)high visibility overalls </t>
  </si>
  <si>
    <t>No</t>
  </si>
  <si>
    <t>health and safety plan and Safety File</t>
  </si>
  <si>
    <t>Noise Monitoring</t>
  </si>
  <si>
    <t>(a)  Establish noise zone (Plant)</t>
  </si>
  <si>
    <t>(B) Audiograms (Personnel)</t>
  </si>
  <si>
    <t>Item</t>
  </si>
  <si>
    <t xml:space="preserve">Item  </t>
  </si>
  <si>
    <t>Health and Safety Education</t>
  </si>
  <si>
    <t>Induction Training</t>
  </si>
  <si>
    <t>Tool Box Talks</t>
  </si>
  <si>
    <t>Demonstrations</t>
  </si>
  <si>
    <t>Method Statements</t>
  </si>
  <si>
    <t>Risk Assessments  CR 9(1)</t>
  </si>
  <si>
    <t>Fall protecion plan CR 10(1)</t>
  </si>
  <si>
    <t>Electrical and use of mechinary CR 24</t>
  </si>
  <si>
    <t>Emergency Plan and Response Plan</t>
  </si>
  <si>
    <t>Fire precautions</t>
  </si>
  <si>
    <t>Construction Vehicles and Mobile Plant</t>
  </si>
  <si>
    <t>Use of explosive power tools</t>
  </si>
  <si>
    <t>Ladders</t>
  </si>
  <si>
    <t>Close Out Report Electronic</t>
  </si>
  <si>
    <t>Transportation of Workers</t>
  </si>
  <si>
    <t>Lump sum</t>
  </si>
  <si>
    <t>Submission of a health and safety file- 
Scanned to CD</t>
  </si>
  <si>
    <t>safety Manager</t>
  </si>
  <si>
    <t xml:space="preserve">Provision of a Part time construction health and </t>
  </si>
  <si>
    <t>Exit medical (End of the Project)</t>
  </si>
  <si>
    <t>Note:</t>
  </si>
  <si>
    <t>Accomodation for Employees</t>
  </si>
  <si>
    <t>(i)gum boots</t>
  </si>
  <si>
    <t>Legal liability,</t>
  </si>
  <si>
    <t xml:space="preserve">First aid, </t>
  </si>
  <si>
    <t xml:space="preserve">safety rep, </t>
  </si>
  <si>
    <t xml:space="preserve">stacking and storage, </t>
  </si>
  <si>
    <t xml:space="preserve">scaffolding training </t>
  </si>
  <si>
    <t>Total 9 months</t>
  </si>
  <si>
    <t>OHS BOQ- UFH_Conversion of Old Clinic into the Finance Department Offices in Alice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</si>
</sst>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R&quot;\ * #,##0.00_ ;_ &quot;R&quot;\ * \-#,##0.00_ ;_ &quot;R&quot;\ * &quot;-&quot;??_ ;_ @_ "/>
    <numFmt numFmtId="165" formatCode="_-[$R-1C09]* #,##0.00_-;\-[$R-1C09]* #,##0.00_-;_-[$R-1C09]* &quot;-&quot;??_-;_-@_-"/>
    <numFmt numFmtId="166" formatCode="[$R-436]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color indexed="14"/>
      <name val="Arial"/>
      <family val="2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vertical="center"/>
    </xf>
    <xf numFmtId="0" fontId="3" fillId="0" borderId="0" xfId="1"/>
    <xf numFmtId="0" fontId="3" fillId="0" borderId="1" xfId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0" fontId="3" fillId="0" borderId="1" xfId="1" applyBorder="1" applyAlignment="1">
      <alignment horizontal="center" vertical="top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center"/>
    </xf>
    <xf numFmtId="1" fontId="5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3" fillId="0" borderId="1" xfId="1" applyBorder="1" applyAlignment="1">
      <alignment horizontal="left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5" fontId="0" fillId="0" borderId="1" xfId="0" applyNumberFormat="1" applyBorder="1"/>
    <xf numFmtId="165" fontId="0" fillId="0" borderId="1" xfId="0" applyNumberFormat="1" applyBorder="1" applyAlignment="1">
      <alignment vertical="center"/>
    </xf>
    <xf numFmtId="165" fontId="3" fillId="0" borderId="1" xfId="1" applyNumberFormat="1" applyBorder="1" applyAlignment="1" applyProtection="1">
      <alignment horizontal="center" vertical="top"/>
      <protection locked="0"/>
    </xf>
    <xf numFmtId="165" fontId="4" fillId="0" borderId="1" xfId="1" applyNumberFormat="1" applyFont="1" applyBorder="1" applyAlignment="1">
      <alignment horizontal="right" vertical="top"/>
    </xf>
    <xf numFmtId="166" fontId="5" fillId="0" borderId="1" xfId="1" applyNumberFormat="1" applyFont="1" applyBorder="1" applyAlignment="1" applyProtection="1">
      <alignment horizontal="center" vertical="top"/>
      <protection locked="0"/>
    </xf>
    <xf numFmtId="166" fontId="3" fillId="0" borderId="1" xfId="1" applyNumberFormat="1" applyBorder="1" applyAlignment="1" applyProtection="1">
      <alignment horizontal="center" vertical="top"/>
      <protection locked="0"/>
    </xf>
    <xf numFmtId="166" fontId="0" fillId="0" borderId="1" xfId="0" applyNumberFormat="1" applyBorder="1"/>
    <xf numFmtId="166" fontId="5" fillId="0" borderId="1" xfId="1" applyNumberFormat="1" applyFont="1" applyBorder="1" applyAlignment="1">
      <alignment horizontal="center" vertical="center"/>
    </xf>
    <xf numFmtId="166" fontId="7" fillId="0" borderId="1" xfId="0" applyNumberFormat="1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165" fontId="0" fillId="0" borderId="2" xfId="0" applyNumberFormat="1" applyBorder="1"/>
    <xf numFmtId="165" fontId="0" fillId="0" borderId="2" xfId="0" applyNumberFormat="1" applyBorder="1" applyAlignment="1">
      <alignment vertical="center"/>
    </xf>
    <xf numFmtId="164" fontId="1" fillId="0" borderId="1" xfId="0" applyNumberFormat="1" applyFont="1" applyBorder="1"/>
    <xf numFmtId="165" fontId="5" fillId="0" borderId="1" xfId="1" applyNumberFormat="1" applyFont="1" applyBorder="1" applyAlignment="1" applyProtection="1">
      <alignment horizontal="center" vertical="top"/>
      <protection locked="0"/>
    </xf>
    <xf numFmtId="9" fontId="0" fillId="0" borderId="1" xfId="0" applyNumberFormat="1" applyBorder="1" applyAlignment="1">
      <alignment horizontal="center"/>
    </xf>
    <xf numFmtId="0" fontId="0" fillId="0" borderId="7" xfId="0" applyBorder="1"/>
    <xf numFmtId="164" fontId="1" fillId="0" borderId="8" xfId="0" applyNumberFormat="1" applyFont="1" applyBorder="1"/>
    <xf numFmtId="166" fontId="0" fillId="0" borderId="1" xfId="0" applyNumberForma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view="pageBreakPreview" topLeftCell="A55" zoomScaleNormal="100" zoomScaleSheetLayoutView="100" workbookViewId="0">
      <selection activeCell="H11" sqref="H11"/>
    </sheetView>
  </sheetViews>
  <sheetFormatPr defaultRowHeight="15" x14ac:dyDescent="0.25"/>
  <cols>
    <col min="1" max="1" width="5.7109375" style="5" customWidth="1"/>
    <col min="2" max="2" width="47" customWidth="1"/>
    <col min="3" max="3" width="7.7109375" customWidth="1"/>
    <col min="4" max="4" width="11.140625" style="5" customWidth="1"/>
    <col min="5" max="5" width="11.7109375" bestFit="1" customWidth="1"/>
    <col min="6" max="6" width="18.140625" style="7" customWidth="1"/>
  </cols>
  <sheetData>
    <row r="1" spans="1:7" ht="45" customHeight="1" thickBot="1" x14ac:dyDescent="0.3">
      <c r="A1" s="45" t="s">
        <v>67</v>
      </c>
      <c r="B1" s="46"/>
      <c r="C1" s="46"/>
      <c r="D1" s="46"/>
      <c r="E1" s="46"/>
      <c r="F1" s="47"/>
    </row>
    <row r="2" spans="1:7" ht="29.25" customHeight="1" x14ac:dyDescent="0.25">
      <c r="A2" s="24" t="s">
        <v>37</v>
      </c>
      <c r="B2" s="24" t="s">
        <v>0</v>
      </c>
      <c r="C2" s="24" t="s">
        <v>28</v>
      </c>
      <c r="D2" s="24" t="s">
        <v>2</v>
      </c>
      <c r="E2" s="24" t="s">
        <v>1</v>
      </c>
      <c r="F2" s="25" t="s">
        <v>17</v>
      </c>
      <c r="G2" s="8"/>
    </row>
    <row r="3" spans="1:7" x14ac:dyDescent="0.25">
      <c r="A3" s="3">
        <v>1</v>
      </c>
      <c r="B3" s="1" t="s">
        <v>27</v>
      </c>
      <c r="C3" s="4">
        <v>1</v>
      </c>
      <c r="D3" s="3" t="s">
        <v>36</v>
      </c>
      <c r="E3" s="26">
        <v>2800</v>
      </c>
      <c r="F3" s="26">
        <f>SUM(E3*C3)</f>
        <v>2800</v>
      </c>
    </row>
    <row r="4" spans="1:7" x14ac:dyDescent="0.25">
      <c r="A4" s="3"/>
      <c r="B4" s="1" t="s">
        <v>32</v>
      </c>
      <c r="C4" s="1"/>
      <c r="D4" s="3"/>
      <c r="E4" s="26"/>
      <c r="F4" s="26"/>
    </row>
    <row r="5" spans="1:7" x14ac:dyDescent="0.25">
      <c r="A5" s="3"/>
      <c r="B5" s="1"/>
      <c r="C5" s="1"/>
      <c r="D5" s="3"/>
      <c r="E5" s="26"/>
      <c r="F5" s="26"/>
    </row>
    <row r="6" spans="1:7" x14ac:dyDescent="0.25">
      <c r="A6" s="3">
        <f>+A3+1</f>
        <v>2</v>
      </c>
      <c r="B6" s="1" t="s">
        <v>18</v>
      </c>
      <c r="C6" s="3">
        <v>1</v>
      </c>
      <c r="D6" s="3" t="s">
        <v>36</v>
      </c>
      <c r="E6" s="26">
        <v>4200</v>
      </c>
      <c r="F6" s="26">
        <f>SUM(E6*C6)</f>
        <v>4200</v>
      </c>
    </row>
    <row r="7" spans="1:7" x14ac:dyDescent="0.25">
      <c r="A7" s="3"/>
      <c r="B7" s="1" t="s">
        <v>3</v>
      </c>
      <c r="C7" s="1"/>
      <c r="D7" s="3"/>
      <c r="E7" s="26"/>
      <c r="F7" s="26"/>
    </row>
    <row r="8" spans="1:7" x14ac:dyDescent="0.25">
      <c r="A8" s="3"/>
      <c r="B8" s="1" t="s">
        <v>4</v>
      </c>
      <c r="C8" s="1"/>
      <c r="D8" s="3"/>
      <c r="E8" s="26"/>
      <c r="F8" s="26"/>
    </row>
    <row r="9" spans="1:7" x14ac:dyDescent="0.25">
      <c r="A9" s="3"/>
      <c r="B9" s="18"/>
      <c r="C9" s="1"/>
      <c r="D9" s="3"/>
      <c r="E9" s="26"/>
      <c r="F9" s="26"/>
    </row>
    <row r="10" spans="1:7" x14ac:dyDescent="0.25">
      <c r="A10" s="3"/>
      <c r="B10" s="1"/>
      <c r="C10" s="1"/>
      <c r="D10" s="3"/>
      <c r="E10" s="26"/>
      <c r="F10" s="26"/>
    </row>
    <row r="11" spans="1:7" x14ac:dyDescent="0.25">
      <c r="A11" s="3">
        <v>3</v>
      </c>
      <c r="B11" s="1" t="s">
        <v>19</v>
      </c>
      <c r="C11" s="4">
        <v>1</v>
      </c>
      <c r="D11" s="3" t="s">
        <v>36</v>
      </c>
      <c r="E11" s="26">
        <v>10000</v>
      </c>
      <c r="F11" s="26">
        <f>SUM(E11*C11)</f>
        <v>10000</v>
      </c>
    </row>
    <row r="12" spans="1:7" x14ac:dyDescent="0.25">
      <c r="A12" s="3"/>
      <c r="B12" s="1" t="s">
        <v>5</v>
      </c>
      <c r="C12" s="3"/>
      <c r="D12" s="3"/>
      <c r="E12" s="26"/>
      <c r="F12" s="26"/>
    </row>
    <row r="13" spans="1:7" x14ac:dyDescent="0.25">
      <c r="A13" s="3"/>
      <c r="B13" s="1" t="s">
        <v>29</v>
      </c>
      <c r="C13" s="1"/>
      <c r="D13" s="3"/>
      <c r="E13" s="26"/>
      <c r="F13" s="26"/>
    </row>
    <row r="14" spans="1:7" x14ac:dyDescent="0.25">
      <c r="A14" s="3"/>
      <c r="B14" s="1"/>
      <c r="C14" s="1"/>
      <c r="D14" s="3"/>
      <c r="E14" s="26"/>
      <c r="F14" s="26"/>
    </row>
    <row r="15" spans="1:7" x14ac:dyDescent="0.25">
      <c r="A15" s="3"/>
      <c r="B15" s="1" t="s">
        <v>20</v>
      </c>
      <c r="C15" s="1"/>
      <c r="D15" s="3"/>
      <c r="E15" s="26"/>
      <c r="F15" s="26"/>
    </row>
    <row r="16" spans="1:7" x14ac:dyDescent="0.25">
      <c r="A16" s="3">
        <v>4</v>
      </c>
      <c r="B16" s="1" t="s">
        <v>7</v>
      </c>
      <c r="C16" s="3" t="s">
        <v>31</v>
      </c>
      <c r="D16" s="3">
        <v>20</v>
      </c>
      <c r="E16" s="26">
        <v>60</v>
      </c>
      <c r="F16" s="26">
        <f>SUM(D16*E16)</f>
        <v>1200</v>
      </c>
    </row>
    <row r="17" spans="1:6" x14ac:dyDescent="0.25">
      <c r="A17" s="3">
        <v>5</v>
      </c>
      <c r="B17" s="1" t="s">
        <v>8</v>
      </c>
      <c r="C17" s="3" t="s">
        <v>31</v>
      </c>
      <c r="D17" s="5">
        <v>20</v>
      </c>
      <c r="E17" s="26">
        <v>30</v>
      </c>
      <c r="F17" s="26">
        <f t="shared" ref="F17:F27" si="0">SUM(D17*E17)</f>
        <v>600</v>
      </c>
    </row>
    <row r="18" spans="1:6" x14ac:dyDescent="0.25">
      <c r="A18" s="3">
        <v>6</v>
      </c>
      <c r="B18" s="1" t="s">
        <v>9</v>
      </c>
      <c r="C18" s="3" t="s">
        <v>31</v>
      </c>
      <c r="D18" s="3">
        <v>20</v>
      </c>
      <c r="E18" s="26">
        <v>245</v>
      </c>
      <c r="F18" s="26">
        <f t="shared" si="0"/>
        <v>4900</v>
      </c>
    </row>
    <row r="19" spans="1:6" x14ac:dyDescent="0.25">
      <c r="A19" s="3">
        <v>7</v>
      </c>
      <c r="B19" s="1" t="s">
        <v>10</v>
      </c>
      <c r="C19" s="3" t="s">
        <v>31</v>
      </c>
      <c r="D19" s="3">
        <v>20</v>
      </c>
      <c r="E19" s="26">
        <v>5</v>
      </c>
      <c r="F19" s="26">
        <f t="shared" si="0"/>
        <v>100</v>
      </c>
    </row>
    <row r="20" spans="1:6" x14ac:dyDescent="0.25">
      <c r="A20" s="3">
        <v>8</v>
      </c>
      <c r="B20" s="1" t="s">
        <v>11</v>
      </c>
      <c r="C20" s="3" t="s">
        <v>31</v>
      </c>
      <c r="D20" s="3">
        <v>20</v>
      </c>
      <c r="E20" s="26">
        <v>8</v>
      </c>
      <c r="F20" s="26">
        <f t="shared" si="0"/>
        <v>160</v>
      </c>
    </row>
    <row r="21" spans="1:6" x14ac:dyDescent="0.25">
      <c r="A21" s="3">
        <v>9</v>
      </c>
      <c r="B21" s="1" t="s">
        <v>12</v>
      </c>
      <c r="C21" s="3" t="s">
        <v>31</v>
      </c>
      <c r="D21" s="3">
        <v>20</v>
      </c>
      <c r="E21" s="26">
        <v>18</v>
      </c>
      <c r="F21" s="26">
        <f t="shared" si="0"/>
        <v>360</v>
      </c>
    </row>
    <row r="22" spans="1:6" x14ac:dyDescent="0.25">
      <c r="A22" s="3">
        <v>10</v>
      </c>
      <c r="B22" s="1" t="s">
        <v>30</v>
      </c>
      <c r="C22" s="3" t="s">
        <v>31</v>
      </c>
      <c r="D22" s="3">
        <v>20</v>
      </c>
      <c r="E22" s="26">
        <v>135</v>
      </c>
      <c r="F22" s="26">
        <f t="shared" si="0"/>
        <v>2700</v>
      </c>
    </row>
    <row r="23" spans="1:6" x14ac:dyDescent="0.25">
      <c r="A23" s="3">
        <v>11</v>
      </c>
      <c r="B23" s="1" t="s">
        <v>60</v>
      </c>
      <c r="C23" s="3" t="s">
        <v>31</v>
      </c>
      <c r="D23" s="3">
        <v>10</v>
      </c>
      <c r="E23" s="26">
        <v>110</v>
      </c>
      <c r="F23" s="26">
        <f t="shared" si="0"/>
        <v>1100</v>
      </c>
    </row>
    <row r="24" spans="1:6" x14ac:dyDescent="0.25">
      <c r="A24" s="3"/>
      <c r="B24" s="1"/>
      <c r="C24" s="1"/>
      <c r="D24" s="3"/>
      <c r="E24" s="26"/>
      <c r="F24" s="26"/>
    </row>
    <row r="25" spans="1:6" x14ac:dyDescent="0.25">
      <c r="A25" s="3">
        <v>13</v>
      </c>
      <c r="B25" s="1" t="s">
        <v>56</v>
      </c>
      <c r="C25" s="3" t="s">
        <v>6</v>
      </c>
      <c r="D25" s="3">
        <v>0</v>
      </c>
      <c r="E25" s="26">
        <v>8500</v>
      </c>
      <c r="F25" s="26">
        <f t="shared" si="0"/>
        <v>0</v>
      </c>
    </row>
    <row r="26" spans="1:6" x14ac:dyDescent="0.25">
      <c r="A26" s="3"/>
      <c r="B26" s="1" t="s">
        <v>55</v>
      </c>
      <c r="C26" s="1"/>
      <c r="D26" s="3"/>
      <c r="E26" s="26"/>
      <c r="F26" s="26"/>
    </row>
    <row r="27" spans="1:6" x14ac:dyDescent="0.25">
      <c r="A27" s="3"/>
      <c r="B27" s="1" t="s">
        <v>21</v>
      </c>
      <c r="C27" s="3" t="s">
        <v>6</v>
      </c>
      <c r="D27" s="3">
        <v>10</v>
      </c>
      <c r="E27" s="26">
        <v>15000</v>
      </c>
      <c r="F27" s="26">
        <f t="shared" si="0"/>
        <v>150000</v>
      </c>
    </row>
    <row r="28" spans="1:6" x14ac:dyDescent="0.25">
      <c r="A28" s="3"/>
      <c r="B28" s="1" t="s">
        <v>13</v>
      </c>
      <c r="C28" s="1"/>
      <c r="D28" s="3"/>
      <c r="E28" s="26"/>
      <c r="F28" s="26"/>
    </row>
    <row r="29" spans="1:6" x14ac:dyDescent="0.25">
      <c r="A29" s="3"/>
      <c r="B29" s="1"/>
      <c r="C29" s="1"/>
      <c r="D29" s="3"/>
      <c r="E29" s="26"/>
      <c r="F29" s="26"/>
    </row>
    <row r="30" spans="1:6" ht="30" x14ac:dyDescent="0.25">
      <c r="A30" s="3">
        <v>14</v>
      </c>
      <c r="B30" s="19" t="s">
        <v>22</v>
      </c>
      <c r="C30" s="1"/>
      <c r="D30" s="3"/>
      <c r="E30" s="26"/>
      <c r="F30" s="26"/>
    </row>
    <row r="31" spans="1:6" s="22" customFormat="1" ht="60" x14ac:dyDescent="0.25">
      <c r="A31" s="4"/>
      <c r="B31" s="20" t="s">
        <v>23</v>
      </c>
      <c r="C31" s="21" t="s">
        <v>14</v>
      </c>
      <c r="D31" s="4">
        <v>20</v>
      </c>
      <c r="E31" s="27">
        <v>850</v>
      </c>
      <c r="F31" s="27">
        <f t="shared" ref="F31:F33" si="1">SUM(D31*E31)</f>
        <v>17000</v>
      </c>
    </row>
    <row r="32" spans="1:6" s="22" customFormat="1" ht="60" x14ac:dyDescent="0.25">
      <c r="A32" s="4"/>
      <c r="B32" s="20" t="s">
        <v>24</v>
      </c>
      <c r="C32" s="21" t="s">
        <v>15</v>
      </c>
      <c r="D32" s="4">
        <v>0</v>
      </c>
      <c r="E32" s="27">
        <v>450</v>
      </c>
      <c r="F32" s="27">
        <f t="shared" si="1"/>
        <v>0</v>
      </c>
    </row>
    <row r="33" spans="1:6" s="22" customFormat="1" ht="60" x14ac:dyDescent="0.25">
      <c r="A33" s="4"/>
      <c r="B33" s="20" t="s">
        <v>57</v>
      </c>
      <c r="C33" s="21" t="s">
        <v>15</v>
      </c>
      <c r="D33" s="4">
        <v>20</v>
      </c>
      <c r="E33" s="27">
        <v>650</v>
      </c>
      <c r="F33" s="27">
        <f t="shared" si="1"/>
        <v>13000</v>
      </c>
    </row>
    <row r="34" spans="1:6" s="22" customFormat="1" x14ac:dyDescent="0.25">
      <c r="A34" s="4"/>
      <c r="B34" s="20"/>
      <c r="C34" s="21"/>
      <c r="D34" s="4"/>
      <c r="E34" s="27"/>
      <c r="F34" s="27"/>
    </row>
    <row r="35" spans="1:6" x14ac:dyDescent="0.25">
      <c r="A35" s="3">
        <v>15</v>
      </c>
      <c r="B35" s="1" t="s">
        <v>25</v>
      </c>
      <c r="C35" s="3" t="s">
        <v>16</v>
      </c>
      <c r="D35" s="41">
        <v>0.1</v>
      </c>
      <c r="E35" s="26"/>
      <c r="F35" s="27" cm="1">
        <f t="array" ref="F35">SUM(F31:F33*0.1)</f>
        <v>3000</v>
      </c>
    </row>
    <row r="36" spans="1:6" x14ac:dyDescent="0.25">
      <c r="A36" s="3"/>
      <c r="B36" s="1"/>
      <c r="C36" s="1"/>
      <c r="D36" s="3"/>
      <c r="E36" s="26"/>
      <c r="F36" s="26"/>
    </row>
    <row r="37" spans="1:6" s="9" customFormat="1" x14ac:dyDescent="0.25">
      <c r="A37" s="16">
        <v>16</v>
      </c>
      <c r="B37" s="13" t="s">
        <v>38</v>
      </c>
      <c r="C37" s="10" t="s">
        <v>36</v>
      </c>
      <c r="D37" s="11"/>
      <c r="E37" s="28"/>
      <c r="F37" s="29"/>
    </row>
    <row r="38" spans="1:6" s="9" customFormat="1" x14ac:dyDescent="0.25">
      <c r="A38" s="11"/>
      <c r="B38" s="13" t="s">
        <v>39</v>
      </c>
      <c r="C38" s="3" t="s">
        <v>31</v>
      </c>
      <c r="D38" s="15">
        <v>20</v>
      </c>
      <c r="E38" s="40">
        <v>450</v>
      </c>
      <c r="F38" s="27">
        <f t="shared" ref="F38:F45" si="2">SUM(D38*E38)</f>
        <v>9000</v>
      </c>
    </row>
    <row r="39" spans="1:6" s="9" customFormat="1" x14ac:dyDescent="0.25">
      <c r="A39" s="11"/>
      <c r="B39" s="13" t="s">
        <v>40</v>
      </c>
      <c r="C39" s="3" t="s">
        <v>31</v>
      </c>
      <c r="D39" s="15">
        <v>18</v>
      </c>
      <c r="E39" s="40">
        <v>250</v>
      </c>
      <c r="F39" s="27">
        <f t="shared" si="2"/>
        <v>4500</v>
      </c>
    </row>
    <row r="40" spans="1:6" s="9" customFormat="1" x14ac:dyDescent="0.25">
      <c r="A40" s="12"/>
      <c r="B40" s="13" t="s">
        <v>41</v>
      </c>
      <c r="C40" s="3" t="s">
        <v>31</v>
      </c>
      <c r="D40" s="15">
        <v>4</v>
      </c>
      <c r="E40" s="40">
        <v>850</v>
      </c>
      <c r="F40" s="27">
        <f t="shared" si="2"/>
        <v>3400</v>
      </c>
    </row>
    <row r="41" spans="1:6" s="9" customFormat="1" x14ac:dyDescent="0.25">
      <c r="A41" s="12"/>
      <c r="B41" s="13" t="s">
        <v>61</v>
      </c>
      <c r="C41" s="3" t="s">
        <v>31</v>
      </c>
      <c r="D41" s="15">
        <v>4</v>
      </c>
      <c r="E41" s="40">
        <v>700</v>
      </c>
      <c r="F41" s="27">
        <f t="shared" si="2"/>
        <v>2800</v>
      </c>
    </row>
    <row r="42" spans="1:6" s="9" customFormat="1" x14ac:dyDescent="0.25">
      <c r="A42" s="12"/>
      <c r="B42" s="13" t="s">
        <v>62</v>
      </c>
      <c r="C42" s="3" t="s">
        <v>31</v>
      </c>
      <c r="D42" s="15">
        <v>2</v>
      </c>
      <c r="E42" s="40">
        <v>850</v>
      </c>
      <c r="F42" s="27">
        <f t="shared" si="2"/>
        <v>1700</v>
      </c>
    </row>
    <row r="43" spans="1:6" s="9" customFormat="1" x14ac:dyDescent="0.25">
      <c r="A43" s="12"/>
      <c r="B43" s="13" t="s">
        <v>63</v>
      </c>
      <c r="C43" s="3" t="s">
        <v>31</v>
      </c>
      <c r="D43" s="15">
        <v>1</v>
      </c>
      <c r="E43" s="40">
        <v>1200</v>
      </c>
      <c r="F43" s="27">
        <f t="shared" si="2"/>
        <v>1200</v>
      </c>
    </row>
    <row r="44" spans="1:6" s="9" customFormat="1" x14ac:dyDescent="0.25">
      <c r="A44" s="12"/>
      <c r="B44" s="13" t="s">
        <v>64</v>
      </c>
      <c r="C44" s="3" t="s">
        <v>31</v>
      </c>
      <c r="D44" s="15">
        <v>1</v>
      </c>
      <c r="E44" s="40">
        <v>1650</v>
      </c>
      <c r="F44" s="27">
        <f t="shared" si="2"/>
        <v>1650</v>
      </c>
    </row>
    <row r="45" spans="1:6" s="9" customFormat="1" x14ac:dyDescent="0.25">
      <c r="A45" s="12"/>
      <c r="B45" s="13" t="s">
        <v>65</v>
      </c>
      <c r="C45" s="3" t="s">
        <v>31</v>
      </c>
      <c r="D45" s="15">
        <v>3</v>
      </c>
      <c r="E45" s="40">
        <v>1950</v>
      </c>
      <c r="F45" s="27">
        <f t="shared" si="2"/>
        <v>5850</v>
      </c>
    </row>
    <row r="46" spans="1:6" x14ac:dyDescent="0.25">
      <c r="A46" s="3"/>
      <c r="B46" s="1"/>
      <c r="C46" s="1"/>
      <c r="D46" s="3"/>
      <c r="E46" s="26"/>
      <c r="F46" s="26"/>
    </row>
    <row r="47" spans="1:6" x14ac:dyDescent="0.25">
      <c r="A47" s="3">
        <v>17</v>
      </c>
      <c r="B47" s="1" t="s">
        <v>26</v>
      </c>
      <c r="C47" s="3" t="s">
        <v>31</v>
      </c>
      <c r="D47" s="3"/>
      <c r="E47" s="26"/>
      <c r="F47" s="26"/>
    </row>
    <row r="48" spans="1:6" x14ac:dyDescent="0.25">
      <c r="A48" s="3"/>
      <c r="B48" s="1" t="s">
        <v>33</v>
      </c>
      <c r="C48" s="3"/>
      <c r="D48" s="3"/>
      <c r="E48" s="26"/>
      <c r="F48" s="26"/>
    </row>
    <row r="49" spans="1:7" x14ac:dyDescent="0.25">
      <c r="A49" s="3">
        <v>18</v>
      </c>
      <c r="B49" s="1" t="s">
        <v>34</v>
      </c>
      <c r="C49" s="3" t="s">
        <v>31</v>
      </c>
      <c r="D49" s="3">
        <v>0</v>
      </c>
      <c r="E49" s="26">
        <v>2500</v>
      </c>
      <c r="F49" s="27">
        <f t="shared" ref="F49:F50" si="3">SUM(D49*E49)</f>
        <v>0</v>
      </c>
    </row>
    <row r="50" spans="1:7" x14ac:dyDescent="0.25">
      <c r="A50" s="3">
        <v>19</v>
      </c>
      <c r="B50" s="1" t="s">
        <v>35</v>
      </c>
      <c r="C50" s="3" t="s">
        <v>31</v>
      </c>
      <c r="D50" s="3">
        <v>0</v>
      </c>
      <c r="E50" s="26">
        <v>2500</v>
      </c>
      <c r="F50" s="27">
        <f t="shared" si="3"/>
        <v>0</v>
      </c>
    </row>
    <row r="51" spans="1:7" x14ac:dyDescent="0.25">
      <c r="A51" s="35"/>
      <c r="B51" s="36"/>
      <c r="C51" s="35"/>
      <c r="D51" s="35"/>
      <c r="E51" s="37"/>
      <c r="F51" s="38"/>
    </row>
    <row r="52" spans="1:7" ht="18.75" x14ac:dyDescent="0.25">
      <c r="A52" s="48"/>
      <c r="B52" s="48"/>
      <c r="C52" s="48"/>
      <c r="D52" s="48"/>
      <c r="E52" s="48"/>
      <c r="F52" s="48"/>
    </row>
    <row r="53" spans="1:7" ht="29.25" customHeight="1" x14ac:dyDescent="0.25">
      <c r="A53" s="2" t="s">
        <v>37</v>
      </c>
      <c r="B53" s="2" t="s">
        <v>0</v>
      </c>
      <c r="C53" s="2" t="s">
        <v>28</v>
      </c>
      <c r="D53" s="2" t="s">
        <v>2</v>
      </c>
      <c r="E53" s="2" t="s">
        <v>1</v>
      </c>
      <c r="F53" s="6" t="s">
        <v>17</v>
      </c>
      <c r="G53" s="8"/>
    </row>
    <row r="54" spans="1:7" s="9" customFormat="1" x14ac:dyDescent="0.25">
      <c r="A54" s="16"/>
      <c r="B54" s="13" t="s">
        <v>42</v>
      </c>
      <c r="C54" s="14"/>
      <c r="D54" s="15"/>
      <c r="E54" s="30"/>
      <c r="F54" s="33"/>
    </row>
    <row r="55" spans="1:7" s="9" customFormat="1" x14ac:dyDescent="0.25">
      <c r="A55" s="16">
        <v>20</v>
      </c>
      <c r="B55" s="13" t="s">
        <v>43</v>
      </c>
      <c r="C55" s="14" t="s">
        <v>31</v>
      </c>
      <c r="D55" s="15">
        <v>22</v>
      </c>
      <c r="E55" s="30">
        <v>250</v>
      </c>
      <c r="F55" s="27">
        <f t="shared" ref="F55:F66" si="4">SUM(D55*E55)</f>
        <v>5500</v>
      </c>
    </row>
    <row r="56" spans="1:7" s="9" customFormat="1" x14ac:dyDescent="0.25">
      <c r="A56" s="16">
        <v>21</v>
      </c>
      <c r="B56" s="13" t="s">
        <v>44</v>
      </c>
      <c r="C56" s="14" t="s">
        <v>31</v>
      </c>
      <c r="D56" s="15">
        <v>3</v>
      </c>
      <c r="E56" s="30">
        <v>250</v>
      </c>
      <c r="F56" s="27">
        <f t="shared" si="4"/>
        <v>750</v>
      </c>
    </row>
    <row r="57" spans="1:7" s="9" customFormat="1" x14ac:dyDescent="0.25">
      <c r="A57" s="16">
        <v>22</v>
      </c>
      <c r="B57" s="13" t="s">
        <v>45</v>
      </c>
      <c r="C57" s="14" t="s">
        <v>31</v>
      </c>
      <c r="D57" s="15">
        <v>18</v>
      </c>
      <c r="E57" s="30">
        <v>350</v>
      </c>
      <c r="F57" s="27">
        <f t="shared" si="4"/>
        <v>6300</v>
      </c>
    </row>
    <row r="58" spans="1:7" s="9" customFormat="1" x14ac:dyDescent="0.25">
      <c r="A58" s="16">
        <v>23</v>
      </c>
      <c r="B58" s="13" t="s">
        <v>46</v>
      </c>
      <c r="C58" s="14" t="s">
        <v>31</v>
      </c>
      <c r="D58" s="15">
        <v>6</v>
      </c>
      <c r="E58" s="30">
        <v>450</v>
      </c>
      <c r="F58" s="27">
        <f t="shared" si="4"/>
        <v>2700</v>
      </c>
    </row>
    <row r="59" spans="1:7" s="9" customFormat="1" x14ac:dyDescent="0.25">
      <c r="A59" s="16">
        <v>24</v>
      </c>
      <c r="B59" s="13" t="s">
        <v>47</v>
      </c>
      <c r="C59" s="14" t="s">
        <v>31</v>
      </c>
      <c r="D59" s="15">
        <v>36</v>
      </c>
      <c r="E59" s="30">
        <v>250</v>
      </c>
      <c r="F59" s="27">
        <f t="shared" si="4"/>
        <v>9000</v>
      </c>
    </row>
    <row r="60" spans="1:7" s="9" customFormat="1" x14ac:dyDescent="0.25">
      <c r="A60" s="16">
        <v>25</v>
      </c>
      <c r="B60" s="13" t="s">
        <v>48</v>
      </c>
      <c r="C60" s="14" t="s">
        <v>31</v>
      </c>
      <c r="D60" s="15">
        <v>26</v>
      </c>
      <c r="E60" s="30">
        <v>850</v>
      </c>
      <c r="F60" s="27">
        <f t="shared" si="4"/>
        <v>22100</v>
      </c>
    </row>
    <row r="61" spans="1:7" s="9" customFormat="1" x14ac:dyDescent="0.25">
      <c r="A61" s="16">
        <v>26</v>
      </c>
      <c r="B61" s="13" t="s">
        <v>49</v>
      </c>
      <c r="C61" s="14" t="s">
        <v>31</v>
      </c>
      <c r="D61" s="15">
        <v>0</v>
      </c>
      <c r="E61" s="30"/>
      <c r="F61" s="27"/>
    </row>
    <row r="62" spans="1:7" s="9" customFormat="1" x14ac:dyDescent="0.25">
      <c r="A62" s="16">
        <v>27</v>
      </c>
      <c r="B62" s="13" t="s">
        <v>50</v>
      </c>
      <c r="C62" s="14" t="s">
        <v>31</v>
      </c>
      <c r="D62" s="15">
        <v>6</v>
      </c>
      <c r="E62" s="30">
        <v>850</v>
      </c>
      <c r="F62" s="27">
        <f t="shared" si="4"/>
        <v>5100</v>
      </c>
    </row>
    <row r="63" spans="1:7" s="9" customFormat="1" x14ac:dyDescent="0.25">
      <c r="A63" s="16"/>
      <c r="B63" s="13"/>
      <c r="C63" s="14"/>
      <c r="D63" s="15"/>
      <c r="E63" s="30"/>
      <c r="F63" s="27"/>
    </row>
    <row r="64" spans="1:7" s="9" customFormat="1" x14ac:dyDescent="0.25">
      <c r="A64" s="16">
        <v>28</v>
      </c>
      <c r="B64" s="13" t="s">
        <v>59</v>
      </c>
      <c r="C64" s="14"/>
      <c r="D64" s="15">
        <v>0</v>
      </c>
      <c r="E64" s="30">
        <v>12500</v>
      </c>
      <c r="F64" s="27">
        <f t="shared" si="4"/>
        <v>0</v>
      </c>
    </row>
    <row r="65" spans="1:6" s="9" customFormat="1" x14ac:dyDescent="0.25">
      <c r="A65" s="16"/>
      <c r="B65" s="13"/>
      <c r="C65" s="14"/>
      <c r="D65" s="15"/>
      <c r="E65" s="30"/>
      <c r="F65" s="27"/>
    </row>
    <row r="66" spans="1:6" s="9" customFormat="1" x14ac:dyDescent="0.2">
      <c r="A66" s="16">
        <v>29</v>
      </c>
      <c r="B66" s="17" t="s">
        <v>52</v>
      </c>
      <c r="C66" s="11" t="s">
        <v>53</v>
      </c>
      <c r="D66" s="11">
        <v>10</v>
      </c>
      <c r="E66" s="31">
        <v>8500</v>
      </c>
      <c r="F66" s="27">
        <f t="shared" si="4"/>
        <v>85000</v>
      </c>
    </row>
    <row r="67" spans="1:6" x14ac:dyDescent="0.25">
      <c r="A67" s="16"/>
      <c r="B67" s="1"/>
      <c r="C67" s="1"/>
      <c r="D67" s="3"/>
      <c r="E67" s="32"/>
      <c r="F67" s="34"/>
    </row>
    <row r="68" spans="1:6" ht="30" x14ac:dyDescent="0.25">
      <c r="A68" s="16">
        <v>30</v>
      </c>
      <c r="B68" s="19" t="s">
        <v>54</v>
      </c>
      <c r="C68" s="3">
        <v>1</v>
      </c>
      <c r="D68" s="3" t="s">
        <v>36</v>
      </c>
      <c r="E68" s="44">
        <v>8500</v>
      </c>
      <c r="F68" s="33">
        <f>SUM(C68*E68)</f>
        <v>8500</v>
      </c>
    </row>
    <row r="69" spans="1:6" x14ac:dyDescent="0.25">
      <c r="A69" s="16">
        <v>31</v>
      </c>
      <c r="B69" s="1" t="s">
        <v>51</v>
      </c>
      <c r="C69" s="3">
        <v>2</v>
      </c>
      <c r="D69" s="3" t="s">
        <v>36</v>
      </c>
      <c r="E69" s="32">
        <v>12500</v>
      </c>
      <c r="F69" s="33">
        <f>SUM(C69*E69)</f>
        <v>25000</v>
      </c>
    </row>
    <row r="70" spans="1:6" x14ac:dyDescent="0.25">
      <c r="A70" s="3"/>
      <c r="B70" s="1" t="s">
        <v>66</v>
      </c>
      <c r="C70" s="1"/>
      <c r="D70" s="3"/>
      <c r="E70" s="1"/>
      <c r="F70" s="39">
        <f>SUM(F3:F69)</f>
        <v>411170</v>
      </c>
    </row>
    <row r="71" spans="1:6" ht="15.75" thickBot="1" x14ac:dyDescent="0.3">
      <c r="B71" s="42"/>
      <c r="F71" s="43"/>
    </row>
    <row r="72" spans="1:6" ht="15.75" thickTop="1" x14ac:dyDescent="0.25">
      <c r="A72" s="23" t="s">
        <v>58</v>
      </c>
      <c r="B72" s="3"/>
    </row>
  </sheetData>
  <mergeCells count="2">
    <mergeCell ref="A1:F1"/>
    <mergeCell ref="A52:F52"/>
  </mergeCells>
  <pageMargins left="0.25" right="0.25" top="0.75" bottom="0.75" header="0.3" footer="0.3"/>
  <pageSetup paperSize="9" scale="96" orientation="portrait" r:id="rId1"/>
  <rowBreaks count="1" manualBreakCount="1">
    <brk id="51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OHS </vt:lpstr>
      <vt:lpstr>Sheet2</vt:lpstr>
      <vt:lpstr>Sheet3</vt:lpstr>
      <vt:lpstr>'OHS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</dc:creator>
  <cp:lastModifiedBy>Jay Bhana</cp:lastModifiedBy>
  <cp:lastPrinted>2024-11-18T12:17:31Z</cp:lastPrinted>
  <dcterms:created xsi:type="dcterms:W3CDTF">2014-05-19T13:31:09Z</dcterms:created>
  <dcterms:modified xsi:type="dcterms:W3CDTF">2025-12-11T12:00:34Z</dcterms:modified>
</cp:coreProperties>
</file>